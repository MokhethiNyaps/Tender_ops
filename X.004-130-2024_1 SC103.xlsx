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er\Documents\X.004-130-2024_1 BETHLEHEM EMERGANCY\04-08-2026 BRIEFING\3CE-4CE\"/>
    </mc:Choice>
  </mc:AlternateContent>
  <xr:revisionPtr revIDLastSave="0" documentId="13_ncr:1_{F7E7E523-D6BB-4416-B73B-BCE7DDD29C94}" xr6:coauthVersionLast="47" xr6:coauthVersionMax="47" xr10:uidLastSave="{00000000-0000-0000-0000-000000000000}"/>
  <bookViews>
    <workbookView xWindow="-120" yWindow="-120" windowWidth="20730" windowHeight="11040" activeTab="1" xr2:uid="{A0E7F5A3-B908-48AB-9717-C112E6BEF17C}"/>
  </bookViews>
  <sheets>
    <sheet name="P's&amp; G's" sheetId="2" r:id="rId1"/>
    <sheet name="C1.5 (2)" sheetId="1" r:id="rId2"/>
  </sheets>
  <definedNames>
    <definedName name="_Ref461368450" localSheetId="1">'C1.5 (2)'!#REF!</definedName>
    <definedName name="_Ref461372205" localSheetId="1">'C1.5 (2)'!#REF!</definedName>
    <definedName name="_Ref461373091" localSheetId="1">'C1.5 (2)'!#REF!</definedName>
    <definedName name="_Ref461373122" localSheetId="1">'C1.5 (2)'!#REF!</definedName>
    <definedName name="_Ref461373150" localSheetId="1">'C1.5 (2)'!#REF!</definedName>
    <definedName name="_xlnm.Print_Area" localSheetId="1">'C1.5 (2)'!$A$1:$I$23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6" i="1"/>
  <c r="A50" i="2"/>
  <c r="A51" i="2"/>
  <c r="B28" i="2"/>
  <c r="F11" i="2" l="1"/>
  <c r="F12" i="2"/>
  <c r="F13" i="2"/>
  <c r="F24" i="2"/>
  <c r="F23" i="2"/>
  <c r="F22" i="2"/>
  <c r="F21" i="2"/>
  <c r="F20" i="2"/>
  <c r="F19" i="2"/>
  <c r="F18" i="2"/>
  <c r="F17" i="2"/>
  <c r="F16" i="2"/>
  <c r="F15" i="2"/>
  <c r="F14" i="2"/>
  <c r="F10" i="2"/>
  <c r="F8" i="2"/>
  <c r="F26" i="2" l="1"/>
  <c r="F36" i="2" s="1"/>
  <c r="F37" i="2" s="1"/>
  <c r="I23" i="1" l="1"/>
  <c r="A31" i="2"/>
  <c r="F40" i="2" l="1"/>
  <c r="F42" i="2" l="1"/>
  <c r="F45" i="2" s="1"/>
  <c r="F54" i="2" s="1"/>
  <c r="F56" i="2" s="1"/>
  <c r="F58" i="2" s="1"/>
  <c r="B31" i="2"/>
  <c r="A3" i="2"/>
  <c r="A32" i="2"/>
  <c r="A29" i="2"/>
</calcChain>
</file>

<file path=xl/sharedStrings.xml><?xml version="1.0" encoding="utf-8"?>
<sst xmlns="http://schemas.openxmlformats.org/spreadsheetml/2006/main" count="99" uniqueCount="78">
  <si>
    <t>C1.5</t>
  </si>
  <si>
    <t>ACCOMMODATION OF TRAFFIC</t>
  </si>
  <si>
    <t>ITEM</t>
  </si>
  <si>
    <t>DESCRIPTION</t>
  </si>
  <si>
    <t>UNIT</t>
  </si>
  <si>
    <t>QTY</t>
  </si>
  <si>
    <t>RATE</t>
  </si>
  <si>
    <t>AMT</t>
  </si>
  <si>
    <t>month</t>
  </si>
  <si>
    <t>C1.5.7</t>
  </si>
  <si>
    <t>Temporary traffic control facilities</t>
  </si>
  <si>
    <t>C1.5.7.1</t>
  </si>
  <si>
    <t>Delineators including mounting bases and ballast:</t>
  </si>
  <si>
    <t>(a)</t>
  </si>
  <si>
    <r>
      <t xml:space="preserve">Single sided, reversible left or right </t>
    </r>
    <r>
      <rPr>
        <i/>
        <sz val="10"/>
        <color theme="1"/>
        <rFont val="Arial"/>
        <family val="2"/>
      </rPr>
      <t>(TW401 200mmx800mm and TW402 200mmx800mm)</t>
    </r>
  </si>
  <si>
    <t>number (No.)</t>
  </si>
  <si>
    <t>(b)</t>
  </si>
  <si>
    <r>
      <t xml:space="preserve">Double sided, reversible left or right </t>
    </r>
    <r>
      <rPr>
        <i/>
        <sz val="10"/>
        <color theme="1"/>
        <rFont val="Arial"/>
        <family val="2"/>
      </rPr>
      <t>(TW401 200mmx800mm and TW402 200mmx800mm)</t>
    </r>
  </si>
  <si>
    <t>C1.5.7.3</t>
  </si>
  <si>
    <t>man-shift</t>
  </si>
  <si>
    <t>C1.5.7.4</t>
  </si>
  <si>
    <t>C1.5.7.5</t>
  </si>
  <si>
    <t>Provision of illuminated traffic signs:</t>
  </si>
  <si>
    <t>C1.5.7.6</t>
  </si>
  <si>
    <t>Maintenance of illuminated traffic signs:</t>
  </si>
  <si>
    <t>C1.5.7.8</t>
  </si>
  <si>
    <t>C1.5.8</t>
  </si>
  <si>
    <t>Traffic safety officer</t>
  </si>
  <si>
    <t>man-month</t>
  </si>
  <si>
    <t>C1.5.9</t>
  </si>
  <si>
    <t>TOTAL CARRIED FORWARD TO SUMMARY</t>
  </si>
  <si>
    <t xml:space="preserve">SCHEDULE A : </t>
  </si>
  <si>
    <t>SECTION M0300</t>
  </si>
  <si>
    <t>ITEM NO</t>
  </si>
  <si>
    <t>QUANTITY</t>
  </si>
  <si>
    <t>AMOUNT</t>
  </si>
  <si>
    <t>M0300</t>
  </si>
  <si>
    <t>CONTRACTOR'S ESTABLISHMENT ON SITE AND GENERAL OBLIGATIONS</t>
  </si>
  <si>
    <t>M030.03</t>
  </si>
  <si>
    <t>Time-related obligations</t>
  </si>
  <si>
    <t>M030.03(a)</t>
  </si>
  <si>
    <t>General obligations</t>
  </si>
  <si>
    <t>M030.03(b)</t>
  </si>
  <si>
    <t>Occupational health and safety obligation</t>
  </si>
  <si>
    <t>M030.03(c)</t>
  </si>
  <si>
    <t>Environmental Obligations</t>
  </si>
  <si>
    <t>M030.03(d)</t>
  </si>
  <si>
    <t>Reporting Obligations</t>
  </si>
  <si>
    <t>CARRIED FORWARD</t>
  </si>
  <si>
    <t>SECTION M7100</t>
  </si>
  <si>
    <t>SUMMARY OF BILL OF QUANTITIES</t>
  </si>
  <si>
    <t>SECTION</t>
  </si>
  <si>
    <t>PART A : MANAGEMENT SECTION</t>
  </si>
  <si>
    <t>SUB-TOTAL PART A : MANAGEMENT SECTION</t>
  </si>
  <si>
    <t>PART B : OPERATIONAL SECTION</t>
  </si>
  <si>
    <t>SUB-TOTAL PART B : OPERATIONAL SECTION</t>
  </si>
  <si>
    <t>TOTAL SCHEDULE A (PART A+B)</t>
  </si>
  <si>
    <t>CALCULATION OF TENDER AMOUNT</t>
  </si>
  <si>
    <t>VAT AT 15%</t>
  </si>
  <si>
    <t>TENDER AMOUNT CARRIED FORWARD TO FORM C1.1.1</t>
  </si>
  <si>
    <t>Each page of the Bill of Quantities must be initialled by the tenderer.</t>
  </si>
  <si>
    <t>COMPANY NAME OF TENDERER:  ____________________________</t>
  </si>
  <si>
    <t xml:space="preserve"> </t>
  </si>
  <si>
    <t>SIGNED ON BEHALF OF THE TENDERER:  ____________________________</t>
  </si>
  <si>
    <t xml:space="preserve">CONTRACT SANRAL X.004-130-2024/1 </t>
  </si>
  <si>
    <t>M030.01</t>
  </si>
  <si>
    <t>M030.02</t>
  </si>
  <si>
    <t>Fixed obligations</t>
  </si>
  <si>
    <t>Value related obligations</t>
  </si>
  <si>
    <t>Lump Sum</t>
  </si>
  <si>
    <t>Traffic safety vehicles</t>
  </si>
  <si>
    <r>
      <t xml:space="preserve">Traffic control stations </t>
    </r>
    <r>
      <rPr>
        <sz val="10"/>
        <color rgb="FFFF0000"/>
        <rFont val="Arial"/>
        <family val="2"/>
      </rPr>
      <t>(total of 2 set/closures)</t>
    </r>
  </si>
  <si>
    <r>
      <t xml:space="preserve">Flagmen </t>
    </r>
    <r>
      <rPr>
        <sz val="10"/>
        <color rgb="FFFF0000"/>
        <rFont val="Arial"/>
        <family val="2"/>
      </rPr>
      <t>(based on 2 closures @ 3 months)</t>
    </r>
    <r>
      <rPr>
        <sz val="10"/>
        <color rgb="FF000000"/>
        <rFont val="Arial"/>
        <family val="2"/>
      </rPr>
      <t>24hrs/day</t>
    </r>
  </si>
  <si>
    <r>
      <t xml:space="preserve">Flagmen </t>
    </r>
    <r>
      <rPr>
        <sz val="10"/>
        <color rgb="FFFF0000"/>
        <rFont val="Arial"/>
        <family val="2"/>
      </rPr>
      <t>(based on 2 closures @ 3 months)</t>
    </r>
    <r>
      <rPr>
        <sz val="10"/>
        <color rgb="FF000000"/>
        <rFont val="Arial"/>
        <family val="2"/>
      </rPr>
      <t>24hrs/day (Sundays &amp; PublicHolidays)</t>
    </r>
  </si>
  <si>
    <r>
      <t xml:space="preserve">Traffic controllers </t>
    </r>
    <r>
      <rPr>
        <sz val="10"/>
        <color rgb="FFFF0000"/>
        <rFont val="Arial"/>
        <family val="2"/>
      </rPr>
      <t>(based on 2 closures @ 3 months)24hrs</t>
    </r>
    <r>
      <rPr>
        <sz val="10"/>
        <color rgb="FF000000"/>
        <rFont val="Arial"/>
        <family val="2"/>
      </rPr>
      <t>/day (Sundays &amp; PublicHolidays)</t>
    </r>
  </si>
  <si>
    <r>
      <t xml:space="preserve">Traffic controllers </t>
    </r>
    <r>
      <rPr>
        <sz val="10"/>
        <color rgb="FFFF0000"/>
        <rFont val="Arial"/>
        <family val="2"/>
      </rPr>
      <t>(based on 2 closures @ 3 months)24hrs</t>
    </r>
    <r>
      <rPr>
        <sz val="10"/>
        <color rgb="FF000000"/>
        <rFont val="Arial"/>
        <family val="2"/>
      </rPr>
      <t xml:space="preserve">/day </t>
    </r>
  </si>
  <si>
    <t>CONTRACT SANRAL X.004-130-2024/1 SC103</t>
  </si>
  <si>
    <t>FOR THE ROUTINE ROAD MAINTENANCE OF NATIONAL ROUTE R57 SECTION 1 FROM KM 7,8 TO KM 10,6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</si>
</sst>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R&quot;#,##0.00"/>
    <numFmt numFmtId="165" formatCode="_-[$R-1C09]* #,##0.00_-;\-[$R-1C09]* #,##0.00_-;_-[$R-1C09]* &quot;-&quot;??_-;_-@_-"/>
    <numFmt numFmtId="166" formatCode="###\ ###\ ###"/>
  </numFmts>
  <fonts count="1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8"/>
      <color rgb="FF000000"/>
      <name val="Arial"/>
      <family val="2"/>
    </font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b/>
      <u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3" fontId="2" fillId="0" borderId="12" applyProtection="0"/>
  </cellStyleXfs>
  <cellXfs count="167">
    <xf numFmtId="0" fontId="0" fillId="0" borderId="0" xfId="0"/>
    <xf numFmtId="165" fontId="0" fillId="0" borderId="4" xfId="1" applyFont="1" applyBorder="1" applyAlignment="1" applyProtection="1">
      <alignment horizontal="center" vertical="center"/>
      <protection locked="0"/>
    </xf>
    <xf numFmtId="165" fontId="0" fillId="0" borderId="4" xfId="1" applyFont="1" applyFill="1" applyBorder="1" applyAlignment="1" applyProtection="1">
      <alignment horizontal="center" vertical="center"/>
      <protection locked="0"/>
    </xf>
    <xf numFmtId="43" fontId="10" fillId="0" borderId="0" xfId="2" applyFont="1" applyBorder="1" applyAlignment="1" applyProtection="1">
      <alignment horizontal="right"/>
      <protection locked="0"/>
    </xf>
    <xf numFmtId="4" fontId="10" fillId="0" borderId="0" xfId="0" applyNumberFormat="1" applyFont="1" applyAlignment="1" applyProtection="1">
      <alignment horizontal="left"/>
      <protection locked="0"/>
    </xf>
    <xf numFmtId="0" fontId="10" fillId="0" borderId="0" xfId="0" applyFont="1" applyAlignment="1" applyProtection="1">
      <alignment vertical="top"/>
      <protection locked="0"/>
    </xf>
    <xf numFmtId="43" fontId="9" fillId="0" borderId="0" xfId="2" applyFont="1" applyBorder="1" applyAlignment="1" applyProtection="1">
      <alignment horizontal="right"/>
      <protection locked="0"/>
    </xf>
    <xf numFmtId="0" fontId="0" fillId="0" borderId="0" xfId="0" applyProtection="1">
      <protection locked="0"/>
    </xf>
    <xf numFmtId="4" fontId="10" fillId="0" borderId="16" xfId="0" applyNumberFormat="1" applyFont="1" applyBorder="1" applyAlignment="1" applyProtection="1">
      <alignment horizontal="right"/>
      <protection locked="0"/>
    </xf>
    <xf numFmtId="0" fontId="9" fillId="0" borderId="0" xfId="0" applyFont="1" applyAlignment="1" applyProtection="1">
      <alignment vertical="top"/>
      <protection hidden="1"/>
    </xf>
    <xf numFmtId="0" fontId="10" fillId="0" borderId="0" xfId="0" applyFont="1" applyAlignment="1" applyProtection="1">
      <alignment horizontal="left" vertical="top"/>
      <protection hidden="1"/>
    </xf>
    <xf numFmtId="0" fontId="10" fillId="0" borderId="0" xfId="0" applyFont="1" applyAlignment="1" applyProtection="1">
      <alignment horizontal="center"/>
      <protection hidden="1"/>
    </xf>
    <xf numFmtId="4" fontId="11" fillId="0" borderId="0" xfId="0" applyNumberFormat="1" applyFont="1" applyProtection="1">
      <protection hidden="1"/>
    </xf>
    <xf numFmtId="165" fontId="12" fillId="0" borderId="0" xfId="3" applyNumberFormat="1" applyFont="1" applyBorder="1" applyAlignment="1" applyProtection="1">
      <alignment horizontal="right"/>
      <protection hidden="1"/>
    </xf>
    <xf numFmtId="165" fontId="10" fillId="0" borderId="0" xfId="1" applyFont="1" applyAlignment="1" applyProtection="1">
      <alignment vertical="top"/>
      <protection hidden="1"/>
    </xf>
    <xf numFmtId="0" fontId="10" fillId="0" borderId="0" xfId="0" applyFont="1" applyAlignment="1" applyProtection="1">
      <alignment vertical="top"/>
      <protection hidden="1"/>
    </xf>
    <xf numFmtId="0" fontId="9" fillId="0" borderId="0" xfId="0" applyFont="1" applyAlignment="1" applyProtection="1">
      <alignment vertical="top" wrapText="1"/>
      <protection hidden="1"/>
    </xf>
    <xf numFmtId="0" fontId="9" fillId="0" borderId="0" xfId="0" applyFont="1" applyAlignment="1" applyProtection="1">
      <alignment horizontal="left" vertical="top" wrapText="1"/>
      <protection hidden="1"/>
    </xf>
    <xf numFmtId="165" fontId="9" fillId="0" borderId="0" xfId="0" applyNumberFormat="1" applyFont="1" applyAlignment="1" applyProtection="1">
      <alignment horizontal="right"/>
      <protection hidden="1"/>
    </xf>
    <xf numFmtId="0" fontId="9" fillId="0" borderId="1" xfId="0" applyFont="1" applyBorder="1" applyAlignment="1" applyProtection="1">
      <alignment horizontal="left" vertical="top"/>
      <protection hidden="1"/>
    </xf>
    <xf numFmtId="0" fontId="10" fillId="0" borderId="1" xfId="0" applyFont="1" applyBorder="1" applyAlignment="1" applyProtection="1">
      <alignment horizontal="center"/>
      <protection hidden="1"/>
    </xf>
    <xf numFmtId="165" fontId="9" fillId="0" borderId="1" xfId="0" applyNumberFormat="1" applyFont="1" applyBorder="1" applyProtection="1">
      <protection hidden="1"/>
    </xf>
    <xf numFmtId="0" fontId="10" fillId="0" borderId="13" xfId="0" applyFont="1" applyBorder="1" applyAlignment="1" applyProtection="1">
      <alignment horizontal="center" vertical="top"/>
      <protection hidden="1"/>
    </xf>
    <xf numFmtId="0" fontId="10" fillId="0" borderId="14" xfId="0" applyFont="1" applyBorder="1" applyAlignment="1" applyProtection="1">
      <alignment horizontal="left" vertical="top"/>
      <protection hidden="1"/>
    </xf>
    <xf numFmtId="0" fontId="10" fillId="0" borderId="14" xfId="0" applyFont="1" applyBorder="1" applyAlignment="1" applyProtection="1">
      <alignment horizontal="center"/>
      <protection hidden="1"/>
    </xf>
    <xf numFmtId="165" fontId="10" fillId="0" borderId="14" xfId="0" applyNumberFormat="1" applyFont="1" applyBorder="1" applyAlignment="1" applyProtection="1">
      <alignment horizontal="center"/>
      <protection hidden="1"/>
    </xf>
    <xf numFmtId="0" fontId="9" fillId="0" borderId="15" xfId="0" applyFont="1" applyBorder="1" applyAlignment="1" applyProtection="1">
      <alignment horizontal="left" vertical="top"/>
      <protection hidden="1"/>
    </xf>
    <xf numFmtId="0" fontId="9" fillId="0" borderId="16" xfId="0" applyFont="1" applyBorder="1" applyAlignment="1" applyProtection="1">
      <alignment horizontal="left" vertical="top"/>
      <protection hidden="1"/>
    </xf>
    <xf numFmtId="0" fontId="9" fillId="0" borderId="16" xfId="0" applyFont="1" applyBorder="1" applyAlignment="1" applyProtection="1">
      <alignment horizontal="center"/>
      <protection hidden="1"/>
    </xf>
    <xf numFmtId="165" fontId="9" fillId="0" borderId="16" xfId="0" applyNumberFormat="1" applyFont="1" applyBorder="1" applyAlignment="1" applyProtection="1">
      <alignment horizontal="center"/>
      <protection hidden="1"/>
    </xf>
    <xf numFmtId="0" fontId="10" fillId="0" borderId="17" xfId="0" applyFont="1" applyBorder="1" applyAlignment="1" applyProtection="1">
      <alignment horizontal="center" vertical="top"/>
      <protection hidden="1"/>
    </xf>
    <xf numFmtId="0" fontId="10" fillId="0" borderId="18" xfId="0" applyFont="1" applyBorder="1" applyAlignment="1" applyProtection="1">
      <alignment horizontal="left" vertical="top"/>
      <protection hidden="1"/>
    </xf>
    <xf numFmtId="0" fontId="10" fillId="0" borderId="18" xfId="0" applyFont="1" applyBorder="1" applyAlignment="1" applyProtection="1">
      <alignment horizontal="center"/>
      <protection hidden="1"/>
    </xf>
    <xf numFmtId="165" fontId="10" fillId="0" borderId="18" xfId="0" applyNumberFormat="1" applyFont="1" applyBorder="1" applyAlignment="1" applyProtection="1">
      <alignment horizontal="center"/>
      <protection hidden="1"/>
    </xf>
    <xf numFmtId="0" fontId="10" fillId="0" borderId="15" xfId="0" applyFont="1" applyBorder="1" applyAlignment="1" applyProtection="1">
      <alignment vertical="top"/>
      <protection hidden="1"/>
    </xf>
    <xf numFmtId="0" fontId="9" fillId="0" borderId="0" xfId="0" applyFont="1" applyAlignment="1" applyProtection="1">
      <alignment horizontal="left"/>
      <protection hidden="1"/>
    </xf>
    <xf numFmtId="0" fontId="10" fillId="0" borderId="15" xfId="0" applyFont="1" applyBorder="1" applyAlignment="1" applyProtection="1">
      <alignment horizontal="center"/>
      <protection hidden="1"/>
    </xf>
    <xf numFmtId="165" fontId="10" fillId="0" borderId="16" xfId="0" applyNumberFormat="1" applyFont="1" applyBorder="1" applyAlignment="1" applyProtection="1">
      <alignment horizontal="right"/>
      <protection hidden="1"/>
    </xf>
    <xf numFmtId="0" fontId="9" fillId="0" borderId="15" xfId="0" applyFont="1" applyBorder="1" applyAlignment="1" applyProtection="1">
      <alignment vertical="top"/>
      <protection hidden="1"/>
    </xf>
    <xf numFmtId="0" fontId="13" fillId="0" borderId="16" xfId="0" applyFont="1" applyBorder="1" applyAlignment="1" applyProtection="1">
      <alignment horizontal="left" vertical="top" wrapText="1"/>
      <protection hidden="1"/>
    </xf>
    <xf numFmtId="0" fontId="10" fillId="0" borderId="16" xfId="0" applyFont="1" applyBorder="1" applyAlignment="1" applyProtection="1">
      <alignment horizontal="center"/>
      <protection hidden="1"/>
    </xf>
    <xf numFmtId="166" fontId="10" fillId="0" borderId="16" xfId="3" applyNumberFormat="1" applyFont="1" applyBorder="1" applyAlignment="1" applyProtection="1">
      <alignment horizontal="center"/>
      <protection hidden="1"/>
    </xf>
    <xf numFmtId="165" fontId="10" fillId="0" borderId="16" xfId="3" applyNumberFormat="1" applyFont="1" applyBorder="1" applyProtection="1">
      <protection hidden="1"/>
    </xf>
    <xf numFmtId="0" fontId="15" fillId="0" borderId="16" xfId="0" applyFont="1" applyBorder="1" applyAlignment="1" applyProtection="1">
      <alignment horizontal="center"/>
      <protection hidden="1"/>
    </xf>
    <xf numFmtId="0" fontId="15" fillId="0" borderId="16" xfId="0" applyFont="1" applyBorder="1" applyAlignment="1" applyProtection="1">
      <alignment horizontal="left"/>
      <protection hidden="1"/>
    </xf>
    <xf numFmtId="0" fontId="14" fillId="0" borderId="16" xfId="0" applyFont="1" applyBorder="1" applyAlignment="1" applyProtection="1">
      <alignment horizontal="left"/>
      <protection hidden="1"/>
    </xf>
    <xf numFmtId="0" fontId="15" fillId="0" borderId="15" xfId="0" applyFont="1" applyBorder="1" applyAlignment="1" applyProtection="1">
      <alignment vertical="top"/>
      <protection hidden="1"/>
    </xf>
    <xf numFmtId="0" fontId="14" fillId="0" borderId="16" xfId="0" applyFont="1" applyBorder="1" applyAlignment="1" applyProtection="1">
      <alignment vertical="top"/>
      <protection hidden="1"/>
    </xf>
    <xf numFmtId="0" fontId="15" fillId="0" borderId="16" xfId="0" applyFont="1" applyBorder="1" applyAlignment="1" applyProtection="1">
      <alignment vertical="top"/>
      <protection hidden="1"/>
    </xf>
    <xf numFmtId="166" fontId="10" fillId="0" borderId="16" xfId="0" applyNumberFormat="1" applyFont="1" applyBorder="1" applyAlignment="1" applyProtection="1">
      <alignment horizontal="center"/>
      <protection hidden="1"/>
    </xf>
    <xf numFmtId="0" fontId="10" fillId="0" borderId="13" xfId="0" applyFont="1" applyBorder="1" applyAlignment="1" applyProtection="1">
      <alignment vertical="top"/>
      <protection hidden="1"/>
    </xf>
    <xf numFmtId="0" fontId="9" fillId="0" borderId="19" xfId="0" applyFont="1" applyBorder="1" applyAlignment="1" applyProtection="1">
      <alignment horizontal="left" vertical="top"/>
      <protection hidden="1"/>
    </xf>
    <xf numFmtId="0" fontId="10" fillId="0" borderId="19" xfId="0" applyFont="1" applyBorder="1" applyAlignment="1" applyProtection="1">
      <alignment horizontal="center"/>
      <protection hidden="1"/>
    </xf>
    <xf numFmtId="165" fontId="10" fillId="0" borderId="14" xfId="3" applyNumberFormat="1" applyFont="1" applyBorder="1" applyProtection="1">
      <protection hidden="1"/>
    </xf>
    <xf numFmtId="0" fontId="10" fillId="0" borderId="17" xfId="0" applyFont="1" applyBorder="1" applyAlignment="1" applyProtection="1">
      <alignment vertical="top"/>
      <protection hidden="1"/>
    </xf>
    <xf numFmtId="165" fontId="10" fillId="0" borderId="18" xfId="0" applyNumberFormat="1" applyFont="1" applyBorder="1" applyAlignment="1" applyProtection="1">
      <alignment horizontal="right"/>
      <protection hidden="1"/>
    </xf>
    <xf numFmtId="0" fontId="9" fillId="0" borderId="0" xfId="0" applyFont="1" applyAlignment="1" applyProtection="1">
      <alignment horizontal="left" vertical="top"/>
      <protection hidden="1"/>
    </xf>
    <xf numFmtId="165" fontId="10" fillId="0" borderId="0" xfId="0" applyNumberFormat="1" applyFont="1" applyAlignment="1" applyProtection="1">
      <alignment horizontal="right"/>
      <protection hidden="1"/>
    </xf>
    <xf numFmtId="0" fontId="13" fillId="0" borderId="0" xfId="0" applyFont="1" applyAlignment="1" applyProtection="1">
      <alignment vertical="top"/>
      <protection hidden="1"/>
    </xf>
    <xf numFmtId="165" fontId="9" fillId="0" borderId="22" xfId="0" applyNumberFormat="1" applyFont="1" applyBorder="1" applyAlignment="1" applyProtection="1">
      <alignment horizontal="right"/>
      <protection hidden="1"/>
    </xf>
    <xf numFmtId="0" fontId="10" fillId="0" borderId="13" xfId="0" applyFont="1" applyBorder="1" applyAlignment="1" applyProtection="1">
      <alignment horizontal="left" vertical="top"/>
      <protection hidden="1"/>
    </xf>
    <xf numFmtId="0" fontId="9" fillId="0" borderId="19" xfId="0" applyFont="1" applyBorder="1" applyAlignment="1" applyProtection="1">
      <alignment horizontal="center"/>
      <protection hidden="1"/>
    </xf>
    <xf numFmtId="165" fontId="10" fillId="0" borderId="14" xfId="0" applyNumberFormat="1" applyFont="1" applyBorder="1" applyAlignment="1" applyProtection="1">
      <alignment horizontal="right"/>
      <protection hidden="1"/>
    </xf>
    <xf numFmtId="0" fontId="9" fillId="0" borderId="13" xfId="0" applyFont="1" applyBorder="1" applyAlignment="1" applyProtection="1">
      <alignment horizontal="center" vertical="top"/>
      <protection hidden="1"/>
    </xf>
    <xf numFmtId="0" fontId="9" fillId="0" borderId="0" xfId="0" applyFont="1" applyAlignment="1" applyProtection="1">
      <alignment horizontal="centerContinuous"/>
      <protection hidden="1"/>
    </xf>
    <xf numFmtId="0" fontId="9" fillId="0" borderId="0" xfId="0" applyFont="1" applyAlignment="1" applyProtection="1">
      <alignment horizontal="center"/>
      <protection hidden="1"/>
    </xf>
    <xf numFmtId="165" fontId="9" fillId="0" borderId="16" xfId="0" applyNumberFormat="1" applyFont="1" applyBorder="1" applyAlignment="1" applyProtection="1">
      <alignment horizontal="centerContinuous"/>
      <protection hidden="1"/>
    </xf>
    <xf numFmtId="0" fontId="10" fillId="0" borderId="17" xfId="0" applyFont="1" applyBorder="1" applyAlignment="1" applyProtection="1">
      <alignment horizontal="left" vertical="top"/>
      <protection hidden="1"/>
    </xf>
    <xf numFmtId="0" fontId="9" fillId="0" borderId="1" xfId="0" applyFont="1" applyBorder="1" applyAlignment="1" applyProtection="1">
      <alignment horizontal="center"/>
      <protection hidden="1"/>
    </xf>
    <xf numFmtId="0" fontId="9" fillId="0" borderId="17" xfId="0" applyFont="1" applyBorder="1" applyAlignment="1" applyProtection="1">
      <alignment horizontal="center" vertical="top"/>
      <protection hidden="1"/>
    </xf>
    <xf numFmtId="0" fontId="9" fillId="0" borderId="23" xfId="0" applyFont="1" applyBorder="1" applyAlignment="1" applyProtection="1">
      <alignment horizontal="left" vertical="top"/>
      <protection hidden="1"/>
    </xf>
    <xf numFmtId="0" fontId="10" fillId="0" borderId="24" xfId="0" applyFont="1" applyBorder="1" applyAlignment="1" applyProtection="1">
      <alignment horizontal="center"/>
      <protection hidden="1"/>
    </xf>
    <xf numFmtId="165" fontId="10" fillId="0" borderId="26" xfId="3" applyNumberFormat="1" applyFont="1" applyBorder="1" applyProtection="1">
      <protection hidden="1"/>
    </xf>
    <xf numFmtId="0" fontId="10" fillId="0" borderId="23" xfId="0" applyFont="1" applyBorder="1" applyAlignment="1" applyProtection="1">
      <alignment vertical="top"/>
      <protection hidden="1"/>
    </xf>
    <xf numFmtId="0" fontId="10" fillId="0" borderId="23" xfId="0" applyFont="1" applyBorder="1" applyAlignment="1" applyProtection="1">
      <alignment horizontal="left" vertical="top"/>
      <protection hidden="1"/>
    </xf>
    <xf numFmtId="165" fontId="15" fillId="0" borderId="14" xfId="3" applyNumberFormat="1" applyFont="1" applyBorder="1" applyProtection="1">
      <protection hidden="1"/>
    </xf>
    <xf numFmtId="165" fontId="10" fillId="0" borderId="27" xfId="3" applyNumberFormat="1" applyFont="1" applyBorder="1" applyProtection="1">
      <protection hidden="1"/>
    </xf>
    <xf numFmtId="0" fontId="9" fillId="0" borderId="23" xfId="0" applyFont="1" applyBorder="1" applyAlignment="1" applyProtection="1">
      <alignment vertical="top"/>
      <protection hidden="1"/>
    </xf>
    <xf numFmtId="165" fontId="15" fillId="0" borderId="26" xfId="3" applyNumberFormat="1" applyFont="1" applyBorder="1" applyProtection="1">
      <protection hidden="1"/>
    </xf>
    <xf numFmtId="165" fontId="15" fillId="0" borderId="27" xfId="3" applyNumberFormat="1" applyFont="1" applyBorder="1" applyProtection="1">
      <protection hidden="1"/>
    </xf>
    <xf numFmtId="0" fontId="10" fillId="0" borderId="26" xfId="0" applyFont="1" applyBorder="1" applyAlignment="1" applyProtection="1">
      <alignment vertical="top"/>
      <protection hidden="1"/>
    </xf>
    <xf numFmtId="165" fontId="15" fillId="0" borderId="18" xfId="0" applyNumberFormat="1" applyFont="1" applyBorder="1" applyAlignment="1" applyProtection="1">
      <alignment horizontal="right"/>
      <protection hidden="1"/>
    </xf>
    <xf numFmtId="0" fontId="9" fillId="0" borderId="18" xfId="0" applyFont="1" applyBorder="1" applyAlignment="1" applyProtection="1">
      <alignment horizontal="center" vertical="top"/>
      <protection hidden="1"/>
    </xf>
    <xf numFmtId="0" fontId="10" fillId="0" borderId="24" xfId="0" applyFont="1" applyBorder="1" applyAlignment="1" applyProtection="1">
      <alignment horizontal="left" vertical="top"/>
      <protection hidden="1"/>
    </xf>
    <xf numFmtId="165" fontId="15" fillId="0" borderId="28" xfId="3" applyNumberFormat="1" applyFont="1" applyBorder="1" applyProtection="1">
      <protection hidden="1"/>
    </xf>
    <xf numFmtId="165" fontId="10" fillId="0" borderId="0" xfId="3" applyNumberFormat="1" applyFont="1" applyBorder="1" applyProtection="1">
      <protection hidden="1"/>
    </xf>
    <xf numFmtId="0" fontId="9" fillId="0" borderId="0" xfId="0" applyFont="1" applyAlignment="1" applyProtection="1">
      <alignment horizontal="center" vertical="top" wrapText="1"/>
      <protection hidden="1"/>
    </xf>
    <xf numFmtId="165" fontId="9" fillId="0" borderId="26" xfId="0" applyNumberFormat="1" applyFont="1" applyBorder="1" applyAlignment="1" applyProtection="1">
      <alignment horizontal="centerContinuous"/>
      <protection hidden="1"/>
    </xf>
    <xf numFmtId="165" fontId="15" fillId="0" borderId="16" xfId="3" applyNumberFormat="1" applyFont="1" applyBorder="1" applyProtection="1">
      <protection hidden="1"/>
    </xf>
    <xf numFmtId="165" fontId="15" fillId="0" borderId="29" xfId="3" applyNumberFormat="1" applyFont="1" applyBorder="1" applyProtection="1">
      <protection hidden="1"/>
    </xf>
    <xf numFmtId="0" fontId="10" fillId="0" borderId="0" xfId="3" applyNumberFormat="1" applyFont="1" applyBorder="1" applyAlignment="1" applyProtection="1">
      <alignment horizontal="center"/>
      <protection hidden="1"/>
    </xf>
    <xf numFmtId="165" fontId="15" fillId="0" borderId="16" xfId="3" applyNumberFormat="1" applyFont="1" applyBorder="1" applyAlignment="1" applyProtection="1">
      <alignment horizontal="center"/>
      <protection hidden="1"/>
    </xf>
    <xf numFmtId="165" fontId="10" fillId="0" borderId="30" xfId="3" applyNumberFormat="1" applyFont="1" applyBorder="1" applyProtection="1">
      <protection hidden="1"/>
    </xf>
    <xf numFmtId="0" fontId="10" fillId="0" borderId="0" xfId="0" applyFont="1" applyAlignment="1" applyProtection="1">
      <alignment horizontal="left"/>
      <protection hidden="1"/>
    </xf>
    <xf numFmtId="165" fontId="16" fillId="0" borderId="0" xfId="0" applyNumberFormat="1" applyFont="1" applyAlignment="1" applyProtection="1">
      <alignment horizontal="right"/>
      <protection hidden="1"/>
    </xf>
    <xf numFmtId="0" fontId="0" fillId="0" borderId="0" xfId="0" applyProtection="1">
      <protection hidden="1"/>
    </xf>
    <xf numFmtId="165" fontId="0" fillId="0" borderId="0" xfId="1" applyFont="1" applyProtection="1">
      <protection hidden="1"/>
    </xf>
    <xf numFmtId="4" fontId="11" fillId="0" borderId="0" xfId="0" applyNumberFormat="1" applyFont="1" applyProtection="1">
      <protection locked="0"/>
    </xf>
    <xf numFmtId="4" fontId="9" fillId="0" borderId="0" xfId="0" applyNumberFormat="1" applyFont="1" applyAlignment="1" applyProtection="1">
      <alignment wrapText="1"/>
      <protection locked="0"/>
    </xf>
    <xf numFmtId="4" fontId="10" fillId="0" borderId="1" xfId="0" applyNumberFormat="1" applyFont="1" applyBorder="1" applyProtection="1">
      <protection locked="0"/>
    </xf>
    <xf numFmtId="4" fontId="10" fillId="0" borderId="14" xfId="0" applyNumberFormat="1" applyFont="1" applyBorder="1" applyAlignment="1" applyProtection="1">
      <alignment horizontal="center"/>
      <protection locked="0"/>
    </xf>
    <xf numFmtId="4" fontId="9" fillId="0" borderId="16" xfId="0" applyNumberFormat="1" applyFont="1" applyBorder="1" applyAlignment="1" applyProtection="1">
      <alignment horizontal="center"/>
      <protection locked="0"/>
    </xf>
    <xf numFmtId="4" fontId="10" fillId="0" borderId="18" xfId="0" applyNumberFormat="1" applyFont="1" applyBorder="1" applyAlignment="1" applyProtection="1">
      <alignment horizontal="center"/>
      <protection locked="0"/>
    </xf>
    <xf numFmtId="4" fontId="9" fillId="0" borderId="16" xfId="0" applyNumberFormat="1" applyFont="1" applyBorder="1" applyAlignment="1" applyProtection="1">
      <alignment horizontal="right"/>
      <protection locked="0"/>
    </xf>
    <xf numFmtId="4" fontId="10" fillId="0" borderId="16" xfId="3" applyNumberFormat="1" applyFont="1" applyBorder="1" applyProtection="1">
      <protection locked="0"/>
    </xf>
    <xf numFmtId="4" fontId="15" fillId="0" borderId="16" xfId="0" applyNumberFormat="1" applyFont="1" applyBorder="1" applyAlignment="1" applyProtection="1">
      <alignment horizontal="right"/>
      <protection locked="0"/>
    </xf>
    <xf numFmtId="4" fontId="10" fillId="0" borderId="20" xfId="0" applyNumberFormat="1" applyFont="1" applyBorder="1" applyAlignment="1" applyProtection="1">
      <alignment horizontal="right"/>
      <protection locked="0"/>
    </xf>
    <xf numFmtId="4" fontId="9" fillId="0" borderId="21" xfId="0" applyNumberFormat="1" applyFont="1" applyBorder="1" applyAlignment="1" applyProtection="1">
      <alignment horizontal="right"/>
      <protection locked="0"/>
    </xf>
    <xf numFmtId="4" fontId="10" fillId="0" borderId="0" xfId="0" applyNumberFormat="1" applyFont="1" applyAlignment="1" applyProtection="1">
      <alignment horizontal="right"/>
      <protection locked="0"/>
    </xf>
    <xf numFmtId="4" fontId="9" fillId="0" borderId="20" xfId="0" applyNumberFormat="1" applyFont="1" applyBorder="1" applyAlignment="1" applyProtection="1">
      <alignment horizontal="right"/>
      <protection locked="0"/>
    </xf>
    <xf numFmtId="4" fontId="9" fillId="0" borderId="22" xfId="0" applyNumberFormat="1" applyFont="1" applyBorder="1" applyAlignment="1" applyProtection="1">
      <alignment horizontal="centerContinuous"/>
      <protection locked="0"/>
    </xf>
    <xf numFmtId="4" fontId="10" fillId="0" borderId="25" xfId="0" applyNumberFormat="1" applyFont="1" applyBorder="1" applyAlignment="1" applyProtection="1">
      <alignment horizontal="right"/>
      <protection locked="0"/>
    </xf>
    <xf numFmtId="4" fontId="9" fillId="0" borderId="0" xfId="0" applyNumberFormat="1" applyFont="1" applyAlignment="1" applyProtection="1">
      <alignment horizontal="right"/>
      <protection locked="0"/>
    </xf>
    <xf numFmtId="4" fontId="9" fillId="0" borderId="25" xfId="0" applyNumberFormat="1" applyFont="1" applyBorder="1" applyAlignment="1" applyProtection="1">
      <alignment horizontal="right"/>
      <protection locked="0"/>
    </xf>
    <xf numFmtId="0" fontId="10" fillId="0" borderId="24" xfId="0" applyFont="1" applyBorder="1" applyAlignment="1" applyProtection="1">
      <alignment horizontal="right"/>
      <protection locked="0"/>
    </xf>
    <xf numFmtId="4" fontId="9" fillId="0" borderId="0" xfId="0" applyNumberFormat="1" applyFont="1" applyAlignment="1" applyProtection="1">
      <alignment horizontal="centerContinuous"/>
      <protection locked="0"/>
    </xf>
    <xf numFmtId="0" fontId="9" fillId="0" borderId="0" xfId="0" applyFont="1" applyAlignment="1" applyProtection="1">
      <alignment horizontal="left" vertical="top" wrapText="1"/>
      <protection locked="0"/>
    </xf>
    <xf numFmtId="0" fontId="1" fillId="0" borderId="1" xfId="0" applyFont="1" applyBorder="1" applyAlignment="1" applyProtection="1">
      <alignment horizontal="left" vertical="center"/>
      <protection hidden="1"/>
    </xf>
    <xf numFmtId="0" fontId="0" fillId="0" borderId="1" xfId="0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3" xfId="0" applyFont="1" applyBorder="1" applyAlignment="1" applyProtection="1">
      <alignment horizontal="left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0" fillId="0" borderId="4" xfId="0" applyBorder="1" applyAlignment="1" applyProtection="1">
      <alignment horizontal="left" vertical="center"/>
      <protection hidden="1"/>
    </xf>
    <xf numFmtId="0" fontId="0" fillId="0" borderId="5" xfId="0" applyBorder="1" applyAlignment="1" applyProtection="1">
      <alignment horizontal="left" vertical="center"/>
      <protection hidden="1"/>
    </xf>
    <xf numFmtId="0" fontId="0" fillId="0" borderId="4" xfId="0" applyBorder="1" applyAlignment="1" applyProtection="1">
      <alignment vertical="center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vertical="center"/>
      <protection hidden="1"/>
    </xf>
    <xf numFmtId="0" fontId="0" fillId="0" borderId="4" xfId="0" quotePrefix="1" applyBorder="1" applyAlignment="1" applyProtection="1">
      <alignment horizontal="left" vertical="center"/>
      <protection hidden="1"/>
    </xf>
    <xf numFmtId="0" fontId="0" fillId="0" borderId="5" xfId="0" quotePrefix="1" applyBorder="1" applyAlignment="1" applyProtection="1">
      <alignment horizontal="left" vertical="center"/>
      <protection hidden="1"/>
    </xf>
    <xf numFmtId="164" fontId="2" fillId="0" borderId="4" xfId="0" applyNumberFormat="1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vertical="center"/>
      <protection hidden="1"/>
    </xf>
    <xf numFmtId="0" fontId="2" fillId="0" borderId="4" xfId="0" applyFont="1" applyBorder="1" applyAlignment="1" applyProtection="1">
      <alignment horizontal="left" vertical="center"/>
      <protection hidden="1"/>
    </xf>
    <xf numFmtId="0" fontId="2" fillId="0" borderId="7" xfId="0" applyFont="1" applyBorder="1" applyAlignment="1" applyProtection="1">
      <alignment vertical="center"/>
      <protection hidden="1"/>
    </xf>
    <xf numFmtId="0" fontId="3" fillId="0" borderId="7" xfId="0" applyFont="1" applyBorder="1" applyProtection="1">
      <protection hidden="1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vertical="center" wrapText="1"/>
      <protection hidden="1"/>
    </xf>
    <xf numFmtId="0" fontId="4" fillId="0" borderId="7" xfId="0" applyFont="1" applyBorder="1" applyAlignment="1" applyProtection="1">
      <alignment horizontal="left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5" fillId="0" borderId="7" xfId="0" applyFont="1" applyBorder="1" applyAlignment="1" applyProtection="1">
      <alignment horizontal="left" vertical="center" wrapText="1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0" fillId="0" borderId="5" xfId="0" applyBorder="1" applyProtection="1">
      <protection hidden="1"/>
    </xf>
    <xf numFmtId="0" fontId="4" fillId="0" borderId="4" xfId="0" applyFont="1" applyBorder="1" applyAlignment="1" applyProtection="1">
      <alignment horizontal="left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4" fillId="0" borderId="4" xfId="0" applyFont="1" applyBorder="1" applyProtection="1"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Alignment="1" applyProtection="1">
      <alignment wrapText="1"/>
      <protection hidden="1"/>
    </xf>
    <xf numFmtId="0" fontId="0" fillId="0" borderId="8" xfId="0" applyBorder="1" applyAlignment="1" applyProtection="1">
      <alignment vertical="center"/>
      <protection hidden="1"/>
    </xf>
    <xf numFmtId="0" fontId="0" fillId="0" borderId="9" xfId="0" applyBorder="1" applyAlignment="1" applyProtection="1">
      <alignment vertical="center"/>
      <protection hidden="1"/>
    </xf>
    <xf numFmtId="0" fontId="0" fillId="0" borderId="10" xfId="0" applyBorder="1" applyAlignment="1" applyProtection="1">
      <alignment vertical="center"/>
      <protection hidden="1"/>
    </xf>
    <xf numFmtId="0" fontId="0" fillId="0" borderId="11" xfId="0" applyBorder="1" applyAlignment="1" applyProtection="1">
      <alignment vertical="center"/>
      <protection hidden="1"/>
    </xf>
    <xf numFmtId="0" fontId="2" fillId="0" borderId="8" xfId="0" applyFont="1" applyBorder="1" applyAlignment="1" applyProtection="1">
      <alignment horizontal="left" vertical="center"/>
      <protection hidden="1"/>
    </xf>
    <xf numFmtId="165" fontId="0" fillId="0" borderId="8" xfId="1" applyFont="1" applyBorder="1" applyAlignment="1" applyProtection="1">
      <alignment vertical="center"/>
      <protection hidden="1"/>
    </xf>
    <xf numFmtId="165" fontId="0" fillId="0" borderId="0" xfId="0" applyNumberFormat="1" applyProtection="1">
      <protection hidden="1"/>
    </xf>
    <xf numFmtId="0" fontId="7" fillId="0" borderId="0" xfId="0" applyFont="1" applyProtection="1">
      <protection hidden="1"/>
    </xf>
    <xf numFmtId="0" fontId="1" fillId="0" borderId="1" xfId="0" applyFont="1" applyBorder="1" applyAlignment="1" applyProtection="1">
      <alignment vertical="center" wrapText="1"/>
      <protection hidden="1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vertical="center"/>
      <protection locked="0"/>
    </xf>
    <xf numFmtId="0" fontId="0" fillId="0" borderId="8" xfId="0" applyBorder="1" applyAlignment="1" applyProtection="1">
      <alignment vertical="center"/>
      <protection locked="0"/>
    </xf>
    <xf numFmtId="0" fontId="9" fillId="0" borderId="15" xfId="0" applyFont="1" applyBorder="1" applyAlignment="1" applyProtection="1">
      <alignment horizontal="right" vertical="top"/>
      <protection hidden="1"/>
    </xf>
    <xf numFmtId="0" fontId="9" fillId="0" borderId="0" xfId="0" applyFont="1" applyAlignment="1" applyProtection="1">
      <alignment horizontal="right" vertical="top"/>
      <protection hidden="1"/>
    </xf>
    <xf numFmtId="0" fontId="9" fillId="0" borderId="0" xfId="0" applyFont="1" applyAlignment="1" applyProtection="1">
      <alignment horizontal="left" vertical="top" wrapText="1"/>
      <protection hidden="1"/>
    </xf>
    <xf numFmtId="0" fontId="9" fillId="0" borderId="1" xfId="0" applyFont="1" applyBorder="1" applyAlignment="1" applyProtection="1">
      <alignment horizontal="left" vertical="top"/>
      <protection hidden="1"/>
    </xf>
    <xf numFmtId="0" fontId="9" fillId="0" borderId="15" xfId="0" applyFont="1" applyBorder="1" applyAlignment="1" applyProtection="1">
      <alignment horizontal="right"/>
      <protection hidden="1"/>
    </xf>
    <xf numFmtId="0" fontId="9" fillId="0" borderId="0" xfId="0" applyFont="1" applyAlignment="1" applyProtection="1">
      <alignment horizontal="right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</cellXfs>
  <cellStyles count="4">
    <cellStyle name="Comma" xfId="2" builtinId="3"/>
    <cellStyle name="Comma0" xfId="3" xr:uid="{D4ACB377-5736-4563-B308-33FA5B8470DA}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DA367-CC9A-4A56-9FFB-EF5D60489E9B}">
  <dimension ref="A1:G70"/>
  <sheetViews>
    <sheetView view="pageBreakPreview" zoomScale="95" zoomScaleNormal="100" zoomScaleSheetLayoutView="95" workbookViewId="0">
      <selection activeCell="E1" sqref="E1:E1048576"/>
    </sheetView>
  </sheetViews>
  <sheetFormatPr defaultColWidth="9.140625" defaultRowHeight="12.75" x14ac:dyDescent="0.2"/>
  <cols>
    <col min="1" max="1" width="13.28515625" style="95" customWidth="1"/>
    <col min="2" max="2" width="45.85546875" style="95" customWidth="1"/>
    <col min="3" max="3" width="10" style="95" customWidth="1"/>
    <col min="4" max="4" width="13.42578125" style="95" customWidth="1"/>
    <col min="5" max="5" width="13.140625" style="7" customWidth="1"/>
    <col min="6" max="6" width="15.5703125" style="95" customWidth="1"/>
    <col min="7" max="7" width="19.5703125" style="96" customWidth="1"/>
    <col min="8" max="16384" width="9.140625" style="95"/>
  </cols>
  <sheetData>
    <row r="1" spans="1:7" s="15" customFormat="1" ht="12" x14ac:dyDescent="0.2">
      <c r="A1" s="9" t="s">
        <v>76</v>
      </c>
      <c r="B1" s="10"/>
      <c r="C1" s="11"/>
      <c r="D1" s="11"/>
      <c r="E1" s="97"/>
      <c r="F1" s="13"/>
      <c r="G1" s="14"/>
    </row>
    <row r="2" spans="1:7" s="15" customFormat="1" ht="28.5" customHeight="1" x14ac:dyDescent="0.2">
      <c r="A2" s="16" t="s">
        <v>31</v>
      </c>
      <c r="B2" s="162" t="s">
        <v>77</v>
      </c>
      <c r="C2" s="162"/>
      <c r="D2" s="162"/>
      <c r="E2" s="98"/>
      <c r="F2" s="18" t="s">
        <v>32</v>
      </c>
      <c r="G2" s="14"/>
    </row>
    <row r="3" spans="1:7" s="15" customFormat="1" ht="12" x14ac:dyDescent="0.2">
      <c r="A3" s="163" t="str">
        <f ca="1">$A$3</f>
        <v>PART A : MANAGEMENT</v>
      </c>
      <c r="B3" s="163"/>
      <c r="C3" s="20"/>
      <c r="D3" s="20"/>
      <c r="E3" s="99"/>
      <c r="F3" s="21"/>
      <c r="G3" s="14"/>
    </row>
    <row r="4" spans="1:7" s="15" customFormat="1" ht="12" x14ac:dyDescent="0.2">
      <c r="A4" s="22"/>
      <c r="B4" s="23"/>
      <c r="C4" s="24"/>
      <c r="D4" s="24"/>
      <c r="E4" s="100"/>
      <c r="F4" s="25"/>
      <c r="G4" s="14"/>
    </row>
    <row r="5" spans="1:7" s="15" customFormat="1" ht="12" x14ac:dyDescent="0.2">
      <c r="A5" s="26" t="s">
        <v>33</v>
      </c>
      <c r="B5" s="27" t="s">
        <v>3</v>
      </c>
      <c r="C5" s="28" t="s">
        <v>4</v>
      </c>
      <c r="D5" s="28" t="s">
        <v>34</v>
      </c>
      <c r="E5" s="101" t="s">
        <v>6</v>
      </c>
      <c r="F5" s="29" t="s">
        <v>35</v>
      </c>
      <c r="G5" s="14"/>
    </row>
    <row r="6" spans="1:7" s="15" customFormat="1" ht="12" x14ac:dyDescent="0.2">
      <c r="A6" s="30"/>
      <c r="B6" s="31"/>
      <c r="C6" s="32"/>
      <c r="D6" s="32"/>
      <c r="E6" s="102"/>
      <c r="F6" s="33"/>
      <c r="G6" s="14"/>
    </row>
    <row r="7" spans="1:7" s="15" customFormat="1" ht="10.5" customHeight="1" x14ac:dyDescent="0.2">
      <c r="A7" s="34"/>
      <c r="B7" s="35"/>
      <c r="C7" s="36"/>
      <c r="D7" s="36"/>
      <c r="E7" s="103"/>
      <c r="F7" s="37"/>
      <c r="G7" s="14"/>
    </row>
    <row r="8" spans="1:7" s="15" customFormat="1" ht="24" x14ac:dyDescent="0.2">
      <c r="A8" s="38" t="s">
        <v>36</v>
      </c>
      <c r="B8" s="39" t="s">
        <v>37</v>
      </c>
      <c r="C8" s="40"/>
      <c r="D8" s="41"/>
      <c r="E8" s="104"/>
      <c r="F8" s="42" t="str">
        <f>IF(ROUND(D8*(ROUND(E8,2)),2)=0,"",ROUND(D8*(ROUND(E8,2)),2))</f>
        <v/>
      </c>
      <c r="G8" s="14"/>
    </row>
    <row r="9" spans="1:7" s="15" customFormat="1" ht="12" x14ac:dyDescent="0.2">
      <c r="A9" s="38"/>
      <c r="B9" s="39"/>
      <c r="D9" s="41"/>
      <c r="E9" s="104"/>
      <c r="F9" s="42"/>
      <c r="G9" s="14"/>
    </row>
    <row r="10" spans="1:7" s="15" customFormat="1" ht="12" x14ac:dyDescent="0.2">
      <c r="A10" s="38" t="s">
        <v>65</v>
      </c>
      <c r="B10" s="27" t="s">
        <v>67</v>
      </c>
      <c r="C10" s="40" t="s">
        <v>69</v>
      </c>
      <c r="D10" s="43">
        <v>1</v>
      </c>
      <c r="E10" s="104"/>
      <c r="F10" s="42" t="str">
        <f t="shared" ref="F10:F24" si="0">IF(ROUND(D10*(ROUND(E10,2)),2)=0,"",ROUND(D10*(ROUND(E10,2)),2))</f>
        <v/>
      </c>
      <c r="G10" s="14"/>
    </row>
    <row r="11" spans="1:7" s="15" customFormat="1" ht="12" x14ac:dyDescent="0.2">
      <c r="A11" s="38"/>
      <c r="B11" s="44"/>
      <c r="C11" s="43"/>
      <c r="D11" s="43"/>
      <c r="E11" s="105"/>
      <c r="F11" s="42" t="str">
        <f t="shared" si="0"/>
        <v/>
      </c>
      <c r="G11" s="14"/>
    </row>
    <row r="12" spans="1:7" s="15" customFormat="1" ht="12" x14ac:dyDescent="0.2">
      <c r="A12" s="38" t="s">
        <v>66</v>
      </c>
      <c r="B12" s="45" t="s">
        <v>68</v>
      </c>
      <c r="C12" s="40" t="s">
        <v>69</v>
      </c>
      <c r="D12" s="43">
        <v>1</v>
      </c>
      <c r="E12" s="105"/>
      <c r="F12" s="42" t="str">
        <f t="shared" si="0"/>
        <v/>
      </c>
      <c r="G12" s="14"/>
    </row>
    <row r="13" spans="1:7" s="15" customFormat="1" ht="12" x14ac:dyDescent="0.2">
      <c r="A13" s="46"/>
      <c r="B13" s="44"/>
      <c r="C13" s="43"/>
      <c r="D13" s="43"/>
      <c r="E13" s="105"/>
      <c r="F13" s="42" t="str">
        <f t="shared" si="0"/>
        <v/>
      </c>
      <c r="G13" s="14"/>
    </row>
    <row r="14" spans="1:7" s="15" customFormat="1" ht="12" x14ac:dyDescent="0.2">
      <c r="A14" s="47" t="s">
        <v>38</v>
      </c>
      <c r="B14" s="45" t="s">
        <v>39</v>
      </c>
      <c r="C14" s="43"/>
      <c r="D14" s="43"/>
      <c r="E14" s="105"/>
      <c r="F14" s="42" t="str">
        <f t="shared" si="0"/>
        <v/>
      </c>
      <c r="G14" s="14"/>
    </row>
    <row r="15" spans="1:7" s="15" customFormat="1" ht="12" x14ac:dyDescent="0.2">
      <c r="A15" s="48"/>
      <c r="B15" s="44"/>
      <c r="C15" s="43"/>
      <c r="D15" s="43"/>
      <c r="E15" s="105"/>
      <c r="F15" s="42" t="str">
        <f t="shared" si="0"/>
        <v/>
      </c>
      <c r="G15" s="14"/>
    </row>
    <row r="16" spans="1:7" s="15" customFormat="1" ht="12" x14ac:dyDescent="0.2">
      <c r="A16" s="48" t="s">
        <v>40</v>
      </c>
      <c r="B16" s="44" t="s">
        <v>41</v>
      </c>
      <c r="C16" s="43" t="s">
        <v>8</v>
      </c>
      <c r="D16" s="43">
        <v>3</v>
      </c>
      <c r="E16" s="8"/>
      <c r="F16" s="42" t="str">
        <f t="shared" si="0"/>
        <v/>
      </c>
      <c r="G16" s="14"/>
    </row>
    <row r="17" spans="1:7" s="15" customFormat="1" ht="12" x14ac:dyDescent="0.2">
      <c r="A17" s="48"/>
      <c r="B17" s="44"/>
      <c r="C17" s="43"/>
      <c r="D17" s="43"/>
      <c r="E17" s="105"/>
      <c r="F17" s="42" t="str">
        <f t="shared" si="0"/>
        <v/>
      </c>
      <c r="G17" s="14"/>
    </row>
    <row r="18" spans="1:7" s="15" customFormat="1" ht="12" x14ac:dyDescent="0.2">
      <c r="A18" s="48" t="s">
        <v>42</v>
      </c>
      <c r="B18" s="44" t="s">
        <v>43</v>
      </c>
      <c r="C18" s="43" t="s">
        <v>8</v>
      </c>
      <c r="D18" s="43">
        <v>3</v>
      </c>
      <c r="E18" s="8"/>
      <c r="F18" s="42" t="str">
        <f t="shared" si="0"/>
        <v/>
      </c>
      <c r="G18" s="14"/>
    </row>
    <row r="19" spans="1:7" s="15" customFormat="1" ht="12" x14ac:dyDescent="0.2">
      <c r="A19" s="48"/>
      <c r="B19" s="44"/>
      <c r="C19" s="43"/>
      <c r="D19" s="43"/>
      <c r="E19" s="105"/>
      <c r="F19" s="42" t="str">
        <f t="shared" si="0"/>
        <v/>
      </c>
      <c r="G19" s="14"/>
    </row>
    <row r="20" spans="1:7" s="15" customFormat="1" ht="12" x14ac:dyDescent="0.2">
      <c r="A20" s="48" t="s">
        <v>44</v>
      </c>
      <c r="B20" s="44" t="s">
        <v>45</v>
      </c>
      <c r="C20" s="43" t="s">
        <v>8</v>
      </c>
      <c r="D20" s="43">
        <v>3</v>
      </c>
      <c r="E20" s="8"/>
      <c r="F20" s="42" t="str">
        <f t="shared" si="0"/>
        <v/>
      </c>
      <c r="G20" s="14"/>
    </row>
    <row r="21" spans="1:7" s="15" customFormat="1" ht="12" x14ac:dyDescent="0.2">
      <c r="A21" s="48"/>
      <c r="B21" s="44"/>
      <c r="C21" s="43"/>
      <c r="D21" s="43"/>
      <c r="E21" s="105"/>
      <c r="F21" s="42" t="str">
        <f t="shared" si="0"/>
        <v/>
      </c>
      <c r="G21" s="14"/>
    </row>
    <row r="22" spans="1:7" s="15" customFormat="1" ht="12" x14ac:dyDescent="0.2">
      <c r="A22" s="48" t="s">
        <v>46</v>
      </c>
      <c r="B22" s="44" t="s">
        <v>47</v>
      </c>
      <c r="C22" s="43" t="s">
        <v>8</v>
      </c>
      <c r="D22" s="43">
        <v>3</v>
      </c>
      <c r="E22" s="8"/>
      <c r="F22" s="42" t="str">
        <f t="shared" si="0"/>
        <v/>
      </c>
      <c r="G22" s="14"/>
    </row>
    <row r="23" spans="1:7" s="15" customFormat="1" ht="12" x14ac:dyDescent="0.2">
      <c r="B23" s="44"/>
      <c r="C23" s="43"/>
      <c r="D23" s="43"/>
      <c r="E23" s="105"/>
      <c r="F23" s="42" t="str">
        <f t="shared" si="0"/>
        <v/>
      </c>
      <c r="G23" s="14"/>
    </row>
    <row r="24" spans="1:7" s="15" customFormat="1" ht="12" x14ac:dyDescent="0.2">
      <c r="A24" s="48"/>
      <c r="B24" s="44"/>
      <c r="C24" s="40"/>
      <c r="D24" s="49"/>
      <c r="E24" s="8"/>
      <c r="F24" s="42" t="str">
        <f t="shared" si="0"/>
        <v/>
      </c>
      <c r="G24" s="14"/>
    </row>
    <row r="25" spans="1:7" s="15" customFormat="1" ht="12" x14ac:dyDescent="0.2">
      <c r="A25" s="50"/>
      <c r="B25" s="51"/>
      <c r="C25" s="52"/>
      <c r="D25" s="52"/>
      <c r="E25" s="106"/>
      <c r="F25" s="53"/>
      <c r="G25" s="14"/>
    </row>
    <row r="26" spans="1:7" s="15" customFormat="1" ht="12" x14ac:dyDescent="0.2">
      <c r="A26" s="54"/>
      <c r="B26" s="19" t="s">
        <v>48</v>
      </c>
      <c r="C26" s="20"/>
      <c r="D26" s="20"/>
      <c r="E26" s="107"/>
      <c r="F26" s="55">
        <f>SUM(F7:F25)</f>
        <v>0</v>
      </c>
      <c r="G26" s="14"/>
    </row>
    <row r="27" spans="1:7" s="15" customFormat="1" ht="12" customHeight="1" x14ac:dyDescent="0.2">
      <c r="B27" s="56"/>
      <c r="C27" s="11"/>
      <c r="D27" s="11"/>
      <c r="E27" s="108"/>
      <c r="F27" s="13"/>
      <c r="G27" s="14"/>
    </row>
    <row r="28" spans="1:7" s="15" customFormat="1" ht="34.9" customHeight="1" x14ac:dyDescent="0.2">
      <c r="A28" s="9" t="s">
        <v>64</v>
      </c>
      <c r="B28" s="162" t="str">
        <f>B2</f>
        <v>FOR THE ROUTINE ROAD MAINTENANCE OF NATIONAL ROUTE R57 SECTION 1 FROM KM 7,8 TO KM 10,6</v>
      </c>
      <c r="C28" s="162"/>
      <c r="D28" s="162"/>
      <c r="E28" s="108"/>
      <c r="F28" s="18" t="s">
        <v>49</v>
      </c>
      <c r="G28" s="14"/>
    </row>
    <row r="29" spans="1:7" s="15" customFormat="1" ht="12" x14ac:dyDescent="0.2">
      <c r="A29" s="9" t="str">
        <f ca="1">$A$29</f>
        <v xml:space="preserve">SCHEDULE A : </v>
      </c>
      <c r="B29" s="10"/>
      <c r="C29" s="11"/>
      <c r="D29" s="11"/>
      <c r="E29" s="108"/>
      <c r="F29" s="57"/>
      <c r="G29" s="14"/>
    </row>
    <row r="30" spans="1:7" s="15" customFormat="1" ht="12" customHeight="1" x14ac:dyDescent="0.2">
      <c r="A30" s="58" t="s">
        <v>50</v>
      </c>
      <c r="B30" s="56"/>
      <c r="C30" s="11"/>
      <c r="D30" s="11"/>
      <c r="E30" s="108"/>
      <c r="F30" s="13"/>
      <c r="G30" s="14"/>
    </row>
    <row r="31" spans="1:7" s="15" customFormat="1" ht="34.9" customHeight="1" x14ac:dyDescent="0.2">
      <c r="A31" s="9" t="str">
        <f>$A$28</f>
        <v xml:space="preserve">CONTRACT SANRAL X.004-130-2024/1 </v>
      </c>
      <c r="B31" s="162" t="str">
        <f>$B$28</f>
        <v>FOR THE ROUTINE ROAD MAINTENANCE OF NATIONAL ROUTE R57 SECTION 1 FROM KM 7,8 TO KM 10,6</v>
      </c>
      <c r="C31" s="162"/>
      <c r="D31" s="162"/>
      <c r="E31" s="108"/>
      <c r="F31" s="59"/>
      <c r="G31" s="14"/>
    </row>
    <row r="32" spans="1:7" s="15" customFormat="1" ht="12" x14ac:dyDescent="0.2">
      <c r="A32" s="9" t="str">
        <f ca="1">$A$29</f>
        <v xml:space="preserve">SCHEDULE A : </v>
      </c>
      <c r="B32" s="60"/>
      <c r="C32" s="61"/>
      <c r="D32" s="61"/>
      <c r="E32" s="109"/>
      <c r="F32" s="62"/>
      <c r="G32" s="14"/>
    </row>
    <row r="33" spans="1:7" s="15" customFormat="1" ht="12" x14ac:dyDescent="0.2">
      <c r="A33" s="63"/>
      <c r="B33" s="26" t="s">
        <v>3</v>
      </c>
      <c r="C33" s="64"/>
      <c r="D33" s="65"/>
      <c r="E33" s="110"/>
      <c r="F33" s="66" t="s">
        <v>35</v>
      </c>
      <c r="G33" s="14"/>
    </row>
    <row r="34" spans="1:7" s="15" customFormat="1" ht="12" x14ac:dyDescent="0.2">
      <c r="A34" s="26" t="s">
        <v>51</v>
      </c>
      <c r="B34" s="67"/>
      <c r="C34" s="68"/>
      <c r="D34" s="68"/>
      <c r="E34" s="107"/>
      <c r="F34" s="55"/>
      <c r="G34" s="14"/>
    </row>
    <row r="35" spans="1:7" s="15" customFormat="1" ht="12" x14ac:dyDescent="0.2">
      <c r="A35" s="69"/>
      <c r="B35" s="70" t="s">
        <v>52</v>
      </c>
      <c r="C35" s="71"/>
      <c r="D35" s="71"/>
      <c r="E35" s="111"/>
      <c r="F35" s="72"/>
      <c r="G35" s="14"/>
    </row>
    <row r="36" spans="1:7" s="15" customFormat="1" thickBot="1" x14ac:dyDescent="0.25">
      <c r="A36" s="73" t="s">
        <v>36</v>
      </c>
      <c r="B36" s="74" t="s">
        <v>37</v>
      </c>
      <c r="C36" s="71"/>
      <c r="D36" s="71"/>
      <c r="E36" s="111"/>
      <c r="F36" s="75">
        <f>F26</f>
        <v>0</v>
      </c>
      <c r="G36" s="14"/>
    </row>
    <row r="37" spans="1:7" s="15" customFormat="1" thickBot="1" x14ac:dyDescent="0.25">
      <c r="B37" s="60"/>
      <c r="C37" s="52"/>
      <c r="D37" s="52"/>
      <c r="E37" s="112" t="s">
        <v>53</v>
      </c>
      <c r="F37" s="76">
        <f>SUM(F36)</f>
        <v>0</v>
      </c>
      <c r="G37" s="14"/>
    </row>
    <row r="38" spans="1:7" s="15" customFormat="1" ht="12" x14ac:dyDescent="0.2">
      <c r="A38" s="73"/>
      <c r="B38" s="74"/>
      <c r="C38" s="71"/>
      <c r="D38" s="71"/>
      <c r="E38" s="113"/>
      <c r="F38" s="42"/>
      <c r="G38" s="14"/>
    </row>
    <row r="39" spans="1:7" s="15" customFormat="1" ht="12" x14ac:dyDescent="0.2">
      <c r="A39" s="73"/>
      <c r="B39" s="70"/>
      <c r="C39" s="71"/>
      <c r="D39" s="71"/>
      <c r="E39" s="111"/>
      <c r="F39" s="72"/>
      <c r="G39" s="14"/>
    </row>
    <row r="40" spans="1:7" s="15" customFormat="1" ht="12" x14ac:dyDescent="0.2">
      <c r="A40" s="77"/>
      <c r="B40" s="70" t="s">
        <v>54</v>
      </c>
      <c r="C40" s="71"/>
      <c r="D40" s="71"/>
      <c r="E40" s="111"/>
      <c r="F40" s="78">
        <f>SUM('C1.5 (2)'!I23)</f>
        <v>0</v>
      </c>
      <c r="G40" s="14"/>
    </row>
    <row r="41" spans="1:7" s="15" customFormat="1" thickBot="1" x14ac:dyDescent="0.25">
      <c r="A41" s="73"/>
      <c r="B41" s="74"/>
      <c r="C41" s="71"/>
      <c r="D41" s="71"/>
      <c r="E41" s="111"/>
      <c r="F41" s="78"/>
      <c r="G41" s="14"/>
    </row>
    <row r="42" spans="1:7" s="15" customFormat="1" thickBot="1" x14ac:dyDescent="0.25">
      <c r="A42" s="73"/>
      <c r="B42" s="74"/>
      <c r="C42" s="71"/>
      <c r="D42" s="71"/>
      <c r="E42" s="112" t="s">
        <v>55</v>
      </c>
      <c r="F42" s="79">
        <f>SUM(F40:F41)</f>
        <v>0</v>
      </c>
      <c r="G42" s="14"/>
    </row>
    <row r="43" spans="1:7" s="15" customFormat="1" ht="12" x14ac:dyDescent="0.2">
      <c r="A43" s="80"/>
      <c r="B43" s="67"/>
      <c r="C43" s="68"/>
      <c r="D43" s="68"/>
      <c r="E43" s="113"/>
      <c r="F43" s="81"/>
      <c r="G43" s="14"/>
    </row>
    <row r="44" spans="1:7" s="15" customFormat="1" thickBot="1" x14ac:dyDescent="0.25">
      <c r="A44" s="82"/>
      <c r="B44" s="83"/>
      <c r="C44" s="71"/>
      <c r="D44" s="71"/>
      <c r="E44" s="114"/>
      <c r="F44" s="84"/>
      <c r="G44" s="14"/>
    </row>
    <row r="45" spans="1:7" s="15" customFormat="1" thickBot="1" x14ac:dyDescent="0.25">
      <c r="A45" s="73"/>
      <c r="B45" s="83"/>
      <c r="C45" s="71"/>
      <c r="D45" s="71"/>
      <c r="E45" s="113" t="s">
        <v>56</v>
      </c>
      <c r="F45" s="79">
        <f>F37+F42</f>
        <v>0</v>
      </c>
      <c r="G45" s="14"/>
    </row>
    <row r="46" spans="1:7" s="15" customFormat="1" ht="12" x14ac:dyDescent="0.2">
      <c r="B46" s="10"/>
      <c r="C46" s="11"/>
      <c r="D46" s="11"/>
      <c r="E46" s="112"/>
      <c r="F46" s="85"/>
      <c r="G46" s="14"/>
    </row>
    <row r="47" spans="1:7" s="15" customFormat="1" ht="12" x14ac:dyDescent="0.2">
      <c r="B47" s="10"/>
      <c r="C47" s="11"/>
      <c r="D47" s="11"/>
      <c r="E47" s="112"/>
      <c r="F47" s="85"/>
      <c r="G47" s="14"/>
    </row>
    <row r="48" spans="1:7" s="15" customFormat="1" ht="12" x14ac:dyDescent="0.2">
      <c r="B48" s="10"/>
      <c r="C48" s="11"/>
      <c r="D48" s="11"/>
      <c r="E48" s="108"/>
      <c r="F48" s="57"/>
      <c r="G48" s="14"/>
    </row>
    <row r="49" spans="1:7" s="15" customFormat="1" ht="12" customHeight="1" x14ac:dyDescent="0.2">
      <c r="A49" s="58" t="s">
        <v>57</v>
      </c>
      <c r="B49" s="56"/>
      <c r="C49" s="11"/>
      <c r="D49" s="11"/>
      <c r="E49" s="108"/>
      <c r="F49" s="13"/>
      <c r="G49" s="14"/>
    </row>
    <row r="50" spans="1:7" s="15" customFormat="1" ht="12" customHeight="1" x14ac:dyDescent="0.2">
      <c r="A50" s="9" t="str">
        <f>A1</f>
        <v>CONTRACT SANRAL X.004-130-2024/1 SC103</v>
      </c>
      <c r="B50" s="16"/>
      <c r="C50" s="16"/>
      <c r="D50" s="86"/>
      <c r="E50" s="108"/>
      <c r="F50" s="18"/>
      <c r="G50" s="14"/>
    </row>
    <row r="51" spans="1:7" s="15" customFormat="1" ht="28.5" customHeight="1" x14ac:dyDescent="0.2">
      <c r="A51" s="162" t="str">
        <f>B2</f>
        <v>FOR THE ROUTINE ROAD MAINTENANCE OF NATIONAL ROUTE R57 SECTION 1 FROM KM 7,8 TO KM 10,6</v>
      </c>
      <c r="B51" s="162"/>
      <c r="C51" s="162"/>
      <c r="D51" s="162"/>
      <c r="E51" s="112"/>
      <c r="F51" s="57"/>
      <c r="G51" s="14"/>
    </row>
    <row r="52" spans="1:7" s="15" customFormat="1" ht="12" x14ac:dyDescent="0.2">
      <c r="A52" s="16"/>
      <c r="B52" s="10"/>
      <c r="C52" s="64"/>
      <c r="D52" s="65"/>
      <c r="E52" s="115"/>
      <c r="F52" s="87" t="s">
        <v>35</v>
      </c>
      <c r="G52" s="14"/>
    </row>
    <row r="53" spans="1:7" s="15" customFormat="1" ht="12" x14ac:dyDescent="0.2">
      <c r="A53" s="38"/>
      <c r="B53" s="10"/>
      <c r="C53" s="11"/>
      <c r="D53" s="11"/>
      <c r="E53" s="108"/>
      <c r="F53" s="88"/>
      <c r="G53" s="14"/>
    </row>
    <row r="54" spans="1:7" s="15" customFormat="1" ht="12" x14ac:dyDescent="0.2">
      <c r="A54" s="160" t="s">
        <v>56</v>
      </c>
      <c r="B54" s="161"/>
      <c r="C54" s="161"/>
      <c r="D54" s="161"/>
      <c r="E54" s="108"/>
      <c r="F54" s="89">
        <f>F45</f>
        <v>0</v>
      </c>
      <c r="G54" s="14"/>
    </row>
    <row r="55" spans="1:7" s="15" customFormat="1" ht="12" x14ac:dyDescent="0.2">
      <c r="B55" s="10"/>
      <c r="C55" s="11"/>
      <c r="D55" s="90"/>
      <c r="E55" s="3"/>
      <c r="F55" s="91"/>
      <c r="G55" s="14"/>
    </row>
    <row r="56" spans="1:7" s="15" customFormat="1" ht="12" x14ac:dyDescent="0.2">
      <c r="A56" s="164" t="s">
        <v>58</v>
      </c>
      <c r="B56" s="165"/>
      <c r="C56" s="165"/>
      <c r="D56" s="165"/>
      <c r="E56" s="3"/>
      <c r="F56" s="89">
        <f>F54*0.15</f>
        <v>0</v>
      </c>
      <c r="G56" s="14"/>
    </row>
    <row r="57" spans="1:7" s="15" customFormat="1" thickBot="1" x14ac:dyDescent="0.25">
      <c r="B57" s="10"/>
      <c r="C57" s="11"/>
      <c r="D57" s="90"/>
      <c r="E57" s="3"/>
      <c r="F57" s="88"/>
      <c r="G57" s="14"/>
    </row>
    <row r="58" spans="1:7" s="15" customFormat="1" thickBot="1" x14ac:dyDescent="0.25">
      <c r="A58" s="160" t="s">
        <v>59</v>
      </c>
      <c r="B58" s="161"/>
      <c r="C58" s="161"/>
      <c r="D58" s="161"/>
      <c r="E58" s="3"/>
      <c r="F58" s="92">
        <f>F54+F56</f>
        <v>0</v>
      </c>
      <c r="G58" s="14"/>
    </row>
    <row r="59" spans="1:7" s="15" customFormat="1" ht="12" x14ac:dyDescent="0.2">
      <c r="B59" s="10"/>
      <c r="C59" s="11"/>
      <c r="D59" s="90"/>
      <c r="E59" s="3"/>
      <c r="F59" s="85"/>
      <c r="G59" s="14"/>
    </row>
    <row r="60" spans="1:7" s="15" customFormat="1" ht="12" x14ac:dyDescent="0.2">
      <c r="B60" s="10"/>
      <c r="C60" s="11"/>
      <c r="D60" s="90"/>
      <c r="E60" s="3"/>
      <c r="F60" s="85"/>
      <c r="G60" s="14"/>
    </row>
    <row r="61" spans="1:7" s="15" customFormat="1" ht="12" customHeight="1" x14ac:dyDescent="0.2">
      <c r="B61" s="17"/>
      <c r="C61" s="17"/>
      <c r="D61" s="17"/>
      <c r="E61" s="116"/>
      <c r="F61" s="17"/>
      <c r="G61" s="14"/>
    </row>
    <row r="62" spans="1:7" s="15" customFormat="1" ht="12" x14ac:dyDescent="0.2">
      <c r="A62" s="9" t="s">
        <v>60</v>
      </c>
      <c r="B62" s="10"/>
      <c r="C62" s="11"/>
      <c r="D62" s="90"/>
      <c r="E62" s="6"/>
      <c r="F62" s="85"/>
      <c r="G62" s="14"/>
    </row>
    <row r="63" spans="1:7" s="15" customFormat="1" ht="12" x14ac:dyDescent="0.2">
      <c r="A63" s="10"/>
      <c r="B63" s="10"/>
      <c r="C63" s="11"/>
      <c r="D63" s="90"/>
      <c r="E63" s="3"/>
      <c r="F63" s="85"/>
      <c r="G63" s="14"/>
    </row>
    <row r="64" spans="1:7" s="15" customFormat="1" ht="12" x14ac:dyDescent="0.2">
      <c r="A64" s="10"/>
      <c r="B64" s="10"/>
      <c r="C64" s="11"/>
      <c r="D64" s="90"/>
      <c r="E64" s="3"/>
      <c r="F64" s="85"/>
      <c r="G64" s="14"/>
    </row>
    <row r="65" spans="1:7" s="15" customFormat="1" ht="12" x14ac:dyDescent="0.2">
      <c r="A65" s="10"/>
      <c r="B65" s="10"/>
      <c r="C65" s="93"/>
      <c r="D65" s="11"/>
      <c r="E65" s="4"/>
      <c r="F65" s="85" t="s">
        <v>62</v>
      </c>
      <c r="G65" s="14"/>
    </row>
    <row r="66" spans="1:7" s="15" customFormat="1" ht="12" x14ac:dyDescent="0.2">
      <c r="A66" s="56" t="s">
        <v>61</v>
      </c>
      <c r="B66" s="10"/>
      <c r="C66" s="93"/>
      <c r="D66" s="11"/>
      <c r="E66" s="4"/>
      <c r="F66" s="85"/>
      <c r="G66" s="14"/>
    </row>
    <row r="67" spans="1:7" s="15" customFormat="1" ht="12" x14ac:dyDescent="0.2">
      <c r="A67" s="56"/>
      <c r="B67" s="10"/>
      <c r="C67" s="11"/>
      <c r="D67" s="90"/>
      <c r="E67" s="6"/>
      <c r="F67" s="85"/>
      <c r="G67" s="14"/>
    </row>
    <row r="68" spans="1:7" s="15" customFormat="1" ht="12" x14ac:dyDescent="0.2">
      <c r="B68" s="10"/>
      <c r="C68" s="11"/>
      <c r="D68" s="90"/>
      <c r="E68" s="3"/>
      <c r="F68" s="85"/>
      <c r="G68" s="14"/>
    </row>
    <row r="69" spans="1:7" s="15" customFormat="1" ht="12" x14ac:dyDescent="0.2">
      <c r="A69" s="9" t="s">
        <v>63</v>
      </c>
      <c r="B69" s="56"/>
      <c r="C69" s="11"/>
      <c r="D69" s="11"/>
      <c r="E69" s="108"/>
      <c r="F69" s="94"/>
      <c r="G69" s="14"/>
    </row>
    <row r="70" spans="1:7" x14ac:dyDescent="0.2">
      <c r="A70" s="9"/>
    </row>
  </sheetData>
  <sheetProtection algorithmName="SHA-512" hashValue="VYIEDwuoW6yKjWirNnX69pQ89VYdLoCkH0x3bAQzwvMl2gSRi858kPA/1h5CpZn5XuLTbRZeMdd4Uux1cYxjnA==" saltValue="F7auJnK8ZV3Fqpf6PWFNcA==" spinCount="100000" sheet="1" objects="1" scenarios="1"/>
  <mergeCells count="8">
    <mergeCell ref="A58:D58"/>
    <mergeCell ref="B28:D28"/>
    <mergeCell ref="B31:D31"/>
    <mergeCell ref="B2:D2"/>
    <mergeCell ref="A3:B3"/>
    <mergeCell ref="A51:D51"/>
    <mergeCell ref="A54:D54"/>
    <mergeCell ref="A56:D56"/>
  </mergeCells>
  <pageMargins left="0.7" right="0.7" top="0.75" bottom="0.75" header="0.3" footer="0.3"/>
  <pageSetup paperSize="9" scale="4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11B6A-B7E2-489A-AEFA-6205FC1AAADF}">
  <dimension ref="A1:J1048445"/>
  <sheetViews>
    <sheetView tabSelected="1" view="pageBreakPreview" zoomScale="112" zoomScaleNormal="100" zoomScaleSheetLayoutView="112" workbookViewId="0">
      <selection activeCell="H1" sqref="H1:H1048576"/>
    </sheetView>
  </sheetViews>
  <sheetFormatPr defaultRowHeight="12.75" x14ac:dyDescent="0.2"/>
  <cols>
    <col min="1" max="1" width="9.28515625" style="95" customWidth="1"/>
    <col min="2" max="2" width="9" style="95" bestFit="1" customWidth="1"/>
    <col min="3" max="3" width="3.140625" style="95" bestFit="1" customWidth="1"/>
    <col min="4" max="4" width="3.140625" style="95" customWidth="1"/>
    <col min="5" max="5" width="40.7109375" style="95" customWidth="1"/>
    <col min="6" max="6" width="17.42578125" style="95" bestFit="1" customWidth="1"/>
    <col min="7" max="7" width="20.7109375" style="95" customWidth="1"/>
    <col min="8" max="8" width="20.7109375" style="7" customWidth="1"/>
    <col min="9" max="9" width="20.7109375" style="95" customWidth="1"/>
    <col min="10" max="10" width="12.5703125" style="95" bestFit="1" customWidth="1"/>
    <col min="11" max="257" width="8.85546875" style="95"/>
    <col min="258" max="258" width="9.28515625" style="95" customWidth="1"/>
    <col min="259" max="259" width="6.7109375" style="95" customWidth="1"/>
    <col min="260" max="260" width="40.7109375" style="95" customWidth="1"/>
    <col min="261" max="264" width="9.28515625" style="95" customWidth="1"/>
    <col min="265" max="513" width="8.85546875" style="95"/>
    <col min="514" max="514" width="9.28515625" style="95" customWidth="1"/>
    <col min="515" max="515" width="6.7109375" style="95" customWidth="1"/>
    <col min="516" max="516" width="40.7109375" style="95" customWidth="1"/>
    <col min="517" max="520" width="9.28515625" style="95" customWidth="1"/>
    <col min="521" max="769" width="8.85546875" style="95"/>
    <col min="770" max="770" width="9.28515625" style="95" customWidth="1"/>
    <col min="771" max="771" width="6.7109375" style="95" customWidth="1"/>
    <col min="772" max="772" width="40.7109375" style="95" customWidth="1"/>
    <col min="773" max="776" width="9.28515625" style="95" customWidth="1"/>
    <col min="777" max="1025" width="8.85546875" style="95"/>
    <col min="1026" max="1026" width="9.28515625" style="95" customWidth="1"/>
    <col min="1027" max="1027" width="6.7109375" style="95" customWidth="1"/>
    <col min="1028" max="1028" width="40.7109375" style="95" customWidth="1"/>
    <col min="1029" max="1032" width="9.28515625" style="95" customWidth="1"/>
    <col min="1033" max="1281" width="8.85546875" style="95"/>
    <col min="1282" max="1282" width="9.28515625" style="95" customWidth="1"/>
    <col min="1283" max="1283" width="6.7109375" style="95" customWidth="1"/>
    <col min="1284" max="1284" width="40.7109375" style="95" customWidth="1"/>
    <col min="1285" max="1288" width="9.28515625" style="95" customWidth="1"/>
    <col min="1289" max="1537" width="8.85546875" style="95"/>
    <col min="1538" max="1538" width="9.28515625" style="95" customWidth="1"/>
    <col min="1539" max="1539" width="6.7109375" style="95" customWidth="1"/>
    <col min="1540" max="1540" width="40.7109375" style="95" customWidth="1"/>
    <col min="1541" max="1544" width="9.28515625" style="95" customWidth="1"/>
    <col min="1545" max="1793" width="8.85546875" style="95"/>
    <col min="1794" max="1794" width="9.28515625" style="95" customWidth="1"/>
    <col min="1795" max="1795" width="6.7109375" style="95" customWidth="1"/>
    <col min="1796" max="1796" width="40.7109375" style="95" customWidth="1"/>
    <col min="1797" max="1800" width="9.28515625" style="95" customWidth="1"/>
    <col min="1801" max="2049" width="8.85546875" style="95"/>
    <col min="2050" max="2050" width="9.28515625" style="95" customWidth="1"/>
    <col min="2051" max="2051" width="6.7109375" style="95" customWidth="1"/>
    <col min="2052" max="2052" width="40.7109375" style="95" customWidth="1"/>
    <col min="2053" max="2056" width="9.28515625" style="95" customWidth="1"/>
    <col min="2057" max="2305" width="8.85546875" style="95"/>
    <col min="2306" max="2306" width="9.28515625" style="95" customWidth="1"/>
    <col min="2307" max="2307" width="6.7109375" style="95" customWidth="1"/>
    <col min="2308" max="2308" width="40.7109375" style="95" customWidth="1"/>
    <col min="2309" max="2312" width="9.28515625" style="95" customWidth="1"/>
    <col min="2313" max="2561" width="8.85546875" style="95"/>
    <col min="2562" max="2562" width="9.28515625" style="95" customWidth="1"/>
    <col min="2563" max="2563" width="6.7109375" style="95" customWidth="1"/>
    <col min="2564" max="2564" width="40.7109375" style="95" customWidth="1"/>
    <col min="2565" max="2568" width="9.28515625" style="95" customWidth="1"/>
    <col min="2569" max="2817" width="8.85546875" style="95"/>
    <col min="2818" max="2818" width="9.28515625" style="95" customWidth="1"/>
    <col min="2819" max="2819" width="6.7109375" style="95" customWidth="1"/>
    <col min="2820" max="2820" width="40.7109375" style="95" customWidth="1"/>
    <col min="2821" max="2824" width="9.28515625" style="95" customWidth="1"/>
    <col min="2825" max="3073" width="8.85546875" style="95"/>
    <col min="3074" max="3074" width="9.28515625" style="95" customWidth="1"/>
    <col min="3075" max="3075" width="6.7109375" style="95" customWidth="1"/>
    <col min="3076" max="3076" width="40.7109375" style="95" customWidth="1"/>
    <col min="3077" max="3080" width="9.28515625" style="95" customWidth="1"/>
    <col min="3081" max="3329" width="8.85546875" style="95"/>
    <col min="3330" max="3330" width="9.28515625" style="95" customWidth="1"/>
    <col min="3331" max="3331" width="6.7109375" style="95" customWidth="1"/>
    <col min="3332" max="3332" width="40.7109375" style="95" customWidth="1"/>
    <col min="3333" max="3336" width="9.28515625" style="95" customWidth="1"/>
    <col min="3337" max="3585" width="8.85546875" style="95"/>
    <col min="3586" max="3586" width="9.28515625" style="95" customWidth="1"/>
    <col min="3587" max="3587" width="6.7109375" style="95" customWidth="1"/>
    <col min="3588" max="3588" width="40.7109375" style="95" customWidth="1"/>
    <col min="3589" max="3592" width="9.28515625" style="95" customWidth="1"/>
    <col min="3593" max="3841" width="8.85546875" style="95"/>
    <col min="3842" max="3842" width="9.28515625" style="95" customWidth="1"/>
    <col min="3843" max="3843" width="6.7109375" style="95" customWidth="1"/>
    <col min="3844" max="3844" width="40.7109375" style="95" customWidth="1"/>
    <col min="3845" max="3848" width="9.28515625" style="95" customWidth="1"/>
    <col min="3849" max="4097" width="8.85546875" style="95"/>
    <col min="4098" max="4098" width="9.28515625" style="95" customWidth="1"/>
    <col min="4099" max="4099" width="6.7109375" style="95" customWidth="1"/>
    <col min="4100" max="4100" width="40.7109375" style="95" customWidth="1"/>
    <col min="4101" max="4104" width="9.28515625" style="95" customWidth="1"/>
    <col min="4105" max="4353" width="8.85546875" style="95"/>
    <col min="4354" max="4354" width="9.28515625" style="95" customWidth="1"/>
    <col min="4355" max="4355" width="6.7109375" style="95" customWidth="1"/>
    <col min="4356" max="4356" width="40.7109375" style="95" customWidth="1"/>
    <col min="4357" max="4360" width="9.28515625" style="95" customWidth="1"/>
    <col min="4361" max="4609" width="8.85546875" style="95"/>
    <col min="4610" max="4610" width="9.28515625" style="95" customWidth="1"/>
    <col min="4611" max="4611" width="6.7109375" style="95" customWidth="1"/>
    <col min="4612" max="4612" width="40.7109375" style="95" customWidth="1"/>
    <col min="4613" max="4616" width="9.28515625" style="95" customWidth="1"/>
    <col min="4617" max="4865" width="8.85546875" style="95"/>
    <col min="4866" max="4866" width="9.28515625" style="95" customWidth="1"/>
    <col min="4867" max="4867" width="6.7109375" style="95" customWidth="1"/>
    <col min="4868" max="4868" width="40.7109375" style="95" customWidth="1"/>
    <col min="4869" max="4872" width="9.28515625" style="95" customWidth="1"/>
    <col min="4873" max="5121" width="8.85546875" style="95"/>
    <col min="5122" max="5122" width="9.28515625" style="95" customWidth="1"/>
    <col min="5123" max="5123" width="6.7109375" style="95" customWidth="1"/>
    <col min="5124" max="5124" width="40.7109375" style="95" customWidth="1"/>
    <col min="5125" max="5128" width="9.28515625" style="95" customWidth="1"/>
    <col min="5129" max="5377" width="8.85546875" style="95"/>
    <col min="5378" max="5378" width="9.28515625" style="95" customWidth="1"/>
    <col min="5379" max="5379" width="6.7109375" style="95" customWidth="1"/>
    <col min="5380" max="5380" width="40.7109375" style="95" customWidth="1"/>
    <col min="5381" max="5384" width="9.28515625" style="95" customWidth="1"/>
    <col min="5385" max="5633" width="8.85546875" style="95"/>
    <col min="5634" max="5634" width="9.28515625" style="95" customWidth="1"/>
    <col min="5635" max="5635" width="6.7109375" style="95" customWidth="1"/>
    <col min="5636" max="5636" width="40.7109375" style="95" customWidth="1"/>
    <col min="5637" max="5640" width="9.28515625" style="95" customWidth="1"/>
    <col min="5641" max="5889" width="8.85546875" style="95"/>
    <col min="5890" max="5890" width="9.28515625" style="95" customWidth="1"/>
    <col min="5891" max="5891" width="6.7109375" style="95" customWidth="1"/>
    <col min="5892" max="5892" width="40.7109375" style="95" customWidth="1"/>
    <col min="5893" max="5896" width="9.28515625" style="95" customWidth="1"/>
    <col min="5897" max="6145" width="8.85546875" style="95"/>
    <col min="6146" max="6146" width="9.28515625" style="95" customWidth="1"/>
    <col min="6147" max="6147" width="6.7109375" style="95" customWidth="1"/>
    <col min="6148" max="6148" width="40.7109375" style="95" customWidth="1"/>
    <col min="6149" max="6152" width="9.28515625" style="95" customWidth="1"/>
    <col min="6153" max="6401" width="8.85546875" style="95"/>
    <col min="6402" max="6402" width="9.28515625" style="95" customWidth="1"/>
    <col min="6403" max="6403" width="6.7109375" style="95" customWidth="1"/>
    <col min="6404" max="6404" width="40.7109375" style="95" customWidth="1"/>
    <col min="6405" max="6408" width="9.28515625" style="95" customWidth="1"/>
    <col min="6409" max="6657" width="8.85546875" style="95"/>
    <col min="6658" max="6658" width="9.28515625" style="95" customWidth="1"/>
    <col min="6659" max="6659" width="6.7109375" style="95" customWidth="1"/>
    <col min="6660" max="6660" width="40.7109375" style="95" customWidth="1"/>
    <col min="6661" max="6664" width="9.28515625" style="95" customWidth="1"/>
    <col min="6665" max="6913" width="8.85546875" style="95"/>
    <col min="6914" max="6914" width="9.28515625" style="95" customWidth="1"/>
    <col min="6915" max="6915" width="6.7109375" style="95" customWidth="1"/>
    <col min="6916" max="6916" width="40.7109375" style="95" customWidth="1"/>
    <col min="6917" max="6920" width="9.28515625" style="95" customWidth="1"/>
    <col min="6921" max="7169" width="8.85546875" style="95"/>
    <col min="7170" max="7170" width="9.28515625" style="95" customWidth="1"/>
    <col min="7171" max="7171" width="6.7109375" style="95" customWidth="1"/>
    <col min="7172" max="7172" width="40.7109375" style="95" customWidth="1"/>
    <col min="7173" max="7176" width="9.28515625" style="95" customWidth="1"/>
    <col min="7177" max="7425" width="8.85546875" style="95"/>
    <col min="7426" max="7426" width="9.28515625" style="95" customWidth="1"/>
    <col min="7427" max="7427" width="6.7109375" style="95" customWidth="1"/>
    <col min="7428" max="7428" width="40.7109375" style="95" customWidth="1"/>
    <col min="7429" max="7432" width="9.28515625" style="95" customWidth="1"/>
    <col min="7433" max="7681" width="8.85546875" style="95"/>
    <col min="7682" max="7682" width="9.28515625" style="95" customWidth="1"/>
    <col min="7683" max="7683" width="6.7109375" style="95" customWidth="1"/>
    <col min="7684" max="7684" width="40.7109375" style="95" customWidth="1"/>
    <col min="7685" max="7688" width="9.28515625" style="95" customWidth="1"/>
    <col min="7689" max="7937" width="8.85546875" style="95"/>
    <col min="7938" max="7938" width="9.28515625" style="95" customWidth="1"/>
    <col min="7939" max="7939" width="6.7109375" style="95" customWidth="1"/>
    <col min="7940" max="7940" width="40.7109375" style="95" customWidth="1"/>
    <col min="7941" max="7944" width="9.28515625" style="95" customWidth="1"/>
    <col min="7945" max="8193" width="8.85546875" style="95"/>
    <col min="8194" max="8194" width="9.28515625" style="95" customWidth="1"/>
    <col min="8195" max="8195" width="6.7109375" style="95" customWidth="1"/>
    <col min="8196" max="8196" width="40.7109375" style="95" customWidth="1"/>
    <col min="8197" max="8200" width="9.28515625" style="95" customWidth="1"/>
    <col min="8201" max="8449" width="8.85546875" style="95"/>
    <col min="8450" max="8450" width="9.28515625" style="95" customWidth="1"/>
    <col min="8451" max="8451" width="6.7109375" style="95" customWidth="1"/>
    <col min="8452" max="8452" width="40.7109375" style="95" customWidth="1"/>
    <col min="8453" max="8456" width="9.28515625" style="95" customWidth="1"/>
    <col min="8457" max="8705" width="8.85546875" style="95"/>
    <col min="8706" max="8706" width="9.28515625" style="95" customWidth="1"/>
    <col min="8707" max="8707" width="6.7109375" style="95" customWidth="1"/>
    <col min="8708" max="8708" width="40.7109375" style="95" customWidth="1"/>
    <col min="8709" max="8712" width="9.28515625" style="95" customWidth="1"/>
    <col min="8713" max="8961" width="8.85546875" style="95"/>
    <col min="8962" max="8962" width="9.28515625" style="95" customWidth="1"/>
    <col min="8963" max="8963" width="6.7109375" style="95" customWidth="1"/>
    <col min="8964" max="8964" width="40.7109375" style="95" customWidth="1"/>
    <col min="8965" max="8968" width="9.28515625" style="95" customWidth="1"/>
    <col min="8969" max="9217" width="8.85546875" style="95"/>
    <col min="9218" max="9218" width="9.28515625" style="95" customWidth="1"/>
    <col min="9219" max="9219" width="6.7109375" style="95" customWidth="1"/>
    <col min="9220" max="9220" width="40.7109375" style="95" customWidth="1"/>
    <col min="9221" max="9224" width="9.28515625" style="95" customWidth="1"/>
    <col min="9225" max="9473" width="8.85546875" style="95"/>
    <col min="9474" max="9474" width="9.28515625" style="95" customWidth="1"/>
    <col min="9475" max="9475" width="6.7109375" style="95" customWidth="1"/>
    <col min="9476" max="9476" width="40.7109375" style="95" customWidth="1"/>
    <col min="9477" max="9480" width="9.28515625" style="95" customWidth="1"/>
    <col min="9481" max="9729" width="8.85546875" style="95"/>
    <col min="9730" max="9730" width="9.28515625" style="95" customWidth="1"/>
    <col min="9731" max="9731" width="6.7109375" style="95" customWidth="1"/>
    <col min="9732" max="9732" width="40.7109375" style="95" customWidth="1"/>
    <col min="9733" max="9736" width="9.28515625" style="95" customWidth="1"/>
    <col min="9737" max="9985" width="8.85546875" style="95"/>
    <col min="9986" max="9986" width="9.28515625" style="95" customWidth="1"/>
    <col min="9987" max="9987" width="6.7109375" style="95" customWidth="1"/>
    <col min="9988" max="9988" width="40.7109375" style="95" customWidth="1"/>
    <col min="9989" max="9992" width="9.28515625" style="95" customWidth="1"/>
    <col min="9993" max="10241" width="8.85546875" style="95"/>
    <col min="10242" max="10242" width="9.28515625" style="95" customWidth="1"/>
    <col min="10243" max="10243" width="6.7109375" style="95" customWidth="1"/>
    <col min="10244" max="10244" width="40.7109375" style="95" customWidth="1"/>
    <col min="10245" max="10248" width="9.28515625" style="95" customWidth="1"/>
    <col min="10249" max="10497" width="8.85546875" style="95"/>
    <col min="10498" max="10498" width="9.28515625" style="95" customWidth="1"/>
    <col min="10499" max="10499" width="6.7109375" style="95" customWidth="1"/>
    <col min="10500" max="10500" width="40.7109375" style="95" customWidth="1"/>
    <col min="10501" max="10504" width="9.28515625" style="95" customWidth="1"/>
    <col min="10505" max="10753" width="8.85546875" style="95"/>
    <col min="10754" max="10754" width="9.28515625" style="95" customWidth="1"/>
    <col min="10755" max="10755" width="6.7109375" style="95" customWidth="1"/>
    <col min="10756" max="10756" width="40.7109375" style="95" customWidth="1"/>
    <col min="10757" max="10760" width="9.28515625" style="95" customWidth="1"/>
    <col min="10761" max="11009" width="8.85546875" style="95"/>
    <col min="11010" max="11010" width="9.28515625" style="95" customWidth="1"/>
    <col min="11011" max="11011" width="6.7109375" style="95" customWidth="1"/>
    <col min="11012" max="11012" width="40.7109375" style="95" customWidth="1"/>
    <col min="11013" max="11016" width="9.28515625" style="95" customWidth="1"/>
    <col min="11017" max="11265" width="8.85546875" style="95"/>
    <col min="11266" max="11266" width="9.28515625" style="95" customWidth="1"/>
    <col min="11267" max="11267" width="6.7109375" style="95" customWidth="1"/>
    <col min="11268" max="11268" width="40.7109375" style="95" customWidth="1"/>
    <col min="11269" max="11272" width="9.28515625" style="95" customWidth="1"/>
    <col min="11273" max="11521" width="8.85546875" style="95"/>
    <col min="11522" max="11522" width="9.28515625" style="95" customWidth="1"/>
    <col min="11523" max="11523" width="6.7109375" style="95" customWidth="1"/>
    <col min="11524" max="11524" width="40.7109375" style="95" customWidth="1"/>
    <col min="11525" max="11528" width="9.28515625" style="95" customWidth="1"/>
    <col min="11529" max="11777" width="8.85546875" style="95"/>
    <col min="11778" max="11778" width="9.28515625" style="95" customWidth="1"/>
    <col min="11779" max="11779" width="6.7109375" style="95" customWidth="1"/>
    <col min="11780" max="11780" width="40.7109375" style="95" customWidth="1"/>
    <col min="11781" max="11784" width="9.28515625" style="95" customWidth="1"/>
    <col min="11785" max="12033" width="8.85546875" style="95"/>
    <col min="12034" max="12034" width="9.28515625" style="95" customWidth="1"/>
    <col min="12035" max="12035" width="6.7109375" style="95" customWidth="1"/>
    <col min="12036" max="12036" width="40.7109375" style="95" customWidth="1"/>
    <col min="12037" max="12040" width="9.28515625" style="95" customWidth="1"/>
    <col min="12041" max="12289" width="8.85546875" style="95"/>
    <col min="12290" max="12290" width="9.28515625" style="95" customWidth="1"/>
    <col min="12291" max="12291" width="6.7109375" style="95" customWidth="1"/>
    <col min="12292" max="12292" width="40.7109375" style="95" customWidth="1"/>
    <col min="12293" max="12296" width="9.28515625" style="95" customWidth="1"/>
    <col min="12297" max="12545" width="8.85546875" style="95"/>
    <col min="12546" max="12546" width="9.28515625" style="95" customWidth="1"/>
    <col min="12547" max="12547" width="6.7109375" style="95" customWidth="1"/>
    <col min="12548" max="12548" width="40.7109375" style="95" customWidth="1"/>
    <col min="12549" max="12552" width="9.28515625" style="95" customWidth="1"/>
    <col min="12553" max="12801" width="8.85546875" style="95"/>
    <col min="12802" max="12802" width="9.28515625" style="95" customWidth="1"/>
    <col min="12803" max="12803" width="6.7109375" style="95" customWidth="1"/>
    <col min="12804" max="12804" width="40.7109375" style="95" customWidth="1"/>
    <col min="12805" max="12808" width="9.28515625" style="95" customWidth="1"/>
    <col min="12809" max="13057" width="8.85546875" style="95"/>
    <col min="13058" max="13058" width="9.28515625" style="95" customWidth="1"/>
    <col min="13059" max="13059" width="6.7109375" style="95" customWidth="1"/>
    <col min="13060" max="13060" width="40.7109375" style="95" customWidth="1"/>
    <col min="13061" max="13064" width="9.28515625" style="95" customWidth="1"/>
    <col min="13065" max="13313" width="8.85546875" style="95"/>
    <col min="13314" max="13314" width="9.28515625" style="95" customWidth="1"/>
    <col min="13315" max="13315" width="6.7109375" style="95" customWidth="1"/>
    <col min="13316" max="13316" width="40.7109375" style="95" customWidth="1"/>
    <col min="13317" max="13320" width="9.28515625" style="95" customWidth="1"/>
    <col min="13321" max="13569" width="8.85546875" style="95"/>
    <col min="13570" max="13570" width="9.28515625" style="95" customWidth="1"/>
    <col min="13571" max="13571" width="6.7109375" style="95" customWidth="1"/>
    <col min="13572" max="13572" width="40.7109375" style="95" customWidth="1"/>
    <col min="13573" max="13576" width="9.28515625" style="95" customWidth="1"/>
    <col min="13577" max="13825" width="8.85546875" style="95"/>
    <col min="13826" max="13826" width="9.28515625" style="95" customWidth="1"/>
    <col min="13827" max="13827" width="6.7109375" style="95" customWidth="1"/>
    <col min="13828" max="13828" width="40.7109375" style="95" customWidth="1"/>
    <col min="13829" max="13832" width="9.28515625" style="95" customWidth="1"/>
    <col min="13833" max="14081" width="8.85546875" style="95"/>
    <col min="14082" max="14082" width="9.28515625" style="95" customWidth="1"/>
    <col min="14083" max="14083" width="6.7109375" style="95" customWidth="1"/>
    <col min="14084" max="14084" width="40.7109375" style="95" customWidth="1"/>
    <col min="14085" max="14088" width="9.28515625" style="95" customWidth="1"/>
    <col min="14089" max="14337" width="8.85546875" style="95"/>
    <col min="14338" max="14338" width="9.28515625" style="95" customWidth="1"/>
    <col min="14339" max="14339" width="6.7109375" style="95" customWidth="1"/>
    <col min="14340" max="14340" width="40.7109375" style="95" customWidth="1"/>
    <col min="14341" max="14344" width="9.28515625" style="95" customWidth="1"/>
    <col min="14345" max="14593" width="8.85546875" style="95"/>
    <col min="14594" max="14594" width="9.28515625" style="95" customWidth="1"/>
    <col min="14595" max="14595" width="6.7109375" style="95" customWidth="1"/>
    <col min="14596" max="14596" width="40.7109375" style="95" customWidth="1"/>
    <col min="14597" max="14600" width="9.28515625" style="95" customWidth="1"/>
    <col min="14601" max="14849" width="8.85546875" style="95"/>
    <col min="14850" max="14850" width="9.28515625" style="95" customWidth="1"/>
    <col min="14851" max="14851" width="6.7109375" style="95" customWidth="1"/>
    <col min="14852" max="14852" width="40.7109375" style="95" customWidth="1"/>
    <col min="14853" max="14856" width="9.28515625" style="95" customWidth="1"/>
    <col min="14857" max="15105" width="8.85546875" style="95"/>
    <col min="15106" max="15106" width="9.28515625" style="95" customWidth="1"/>
    <col min="15107" max="15107" width="6.7109375" style="95" customWidth="1"/>
    <col min="15108" max="15108" width="40.7109375" style="95" customWidth="1"/>
    <col min="15109" max="15112" width="9.28515625" style="95" customWidth="1"/>
    <col min="15113" max="15361" width="8.85546875" style="95"/>
    <col min="15362" max="15362" width="9.28515625" style="95" customWidth="1"/>
    <col min="15363" max="15363" width="6.7109375" style="95" customWidth="1"/>
    <col min="15364" max="15364" width="40.7109375" style="95" customWidth="1"/>
    <col min="15365" max="15368" width="9.28515625" style="95" customWidth="1"/>
    <col min="15369" max="15617" width="8.85546875" style="95"/>
    <col min="15618" max="15618" width="9.28515625" style="95" customWidth="1"/>
    <col min="15619" max="15619" width="6.7109375" style="95" customWidth="1"/>
    <col min="15620" max="15620" width="40.7109375" style="95" customWidth="1"/>
    <col min="15621" max="15624" width="9.28515625" style="95" customWidth="1"/>
    <col min="15625" max="15873" width="8.85546875" style="95"/>
    <col min="15874" max="15874" width="9.28515625" style="95" customWidth="1"/>
    <col min="15875" max="15875" width="6.7109375" style="95" customWidth="1"/>
    <col min="15876" max="15876" width="40.7109375" style="95" customWidth="1"/>
    <col min="15877" max="15880" width="9.28515625" style="95" customWidth="1"/>
    <col min="15881" max="16129" width="8.85546875" style="95"/>
    <col min="16130" max="16130" width="9.28515625" style="95" customWidth="1"/>
    <col min="16131" max="16131" width="6.7109375" style="95" customWidth="1"/>
    <col min="16132" max="16132" width="40.7109375" style="95" customWidth="1"/>
    <col min="16133" max="16136" width="9.28515625" style="95" customWidth="1"/>
    <col min="16137" max="16384" width="8.85546875" style="95"/>
  </cols>
  <sheetData>
    <row r="1" spans="1:9" s="15" customFormat="1" ht="12" x14ac:dyDescent="0.2">
      <c r="A1" s="9" t="s">
        <v>76</v>
      </c>
      <c r="B1" s="10"/>
      <c r="C1" s="11"/>
      <c r="D1" s="11"/>
      <c r="E1" s="12"/>
      <c r="F1" s="13"/>
      <c r="H1" s="5"/>
    </row>
    <row r="2" spans="1:9" s="15" customFormat="1" ht="33.75" customHeight="1" x14ac:dyDescent="0.2">
      <c r="A2" s="16"/>
      <c r="B2" s="162" t="s">
        <v>77</v>
      </c>
      <c r="C2" s="162"/>
      <c r="D2" s="162"/>
      <c r="E2" s="162"/>
      <c r="F2" s="162"/>
      <c r="G2" s="162"/>
      <c r="H2" s="5"/>
    </row>
    <row r="3" spans="1:9" ht="21.6" customHeight="1" x14ac:dyDescent="0.2">
      <c r="A3" s="117" t="s">
        <v>0</v>
      </c>
      <c r="B3" s="118"/>
      <c r="C3" s="118"/>
      <c r="D3" s="118"/>
      <c r="E3" s="118"/>
      <c r="F3" s="166" t="s">
        <v>1</v>
      </c>
      <c r="G3" s="166"/>
      <c r="H3" s="156"/>
      <c r="I3" s="155"/>
    </row>
    <row r="4" spans="1:9" x14ac:dyDescent="0.2">
      <c r="A4" s="119" t="s">
        <v>2</v>
      </c>
      <c r="B4" s="119"/>
      <c r="C4" s="120"/>
      <c r="D4" s="119"/>
      <c r="E4" s="121" t="s">
        <v>3</v>
      </c>
      <c r="F4" s="121" t="s">
        <v>4</v>
      </c>
      <c r="G4" s="121" t="s">
        <v>5</v>
      </c>
      <c r="H4" s="157" t="s">
        <v>6</v>
      </c>
      <c r="I4" s="121" t="s">
        <v>7</v>
      </c>
    </row>
    <row r="5" spans="1:9" x14ac:dyDescent="0.2">
      <c r="A5" s="122"/>
      <c r="B5" s="122"/>
      <c r="C5" s="123"/>
      <c r="D5" s="122"/>
      <c r="E5" s="124"/>
      <c r="F5" s="125"/>
      <c r="G5" s="125"/>
      <c r="H5" s="158"/>
      <c r="I5" s="126"/>
    </row>
    <row r="6" spans="1:9" x14ac:dyDescent="0.2">
      <c r="A6" s="127"/>
      <c r="B6" s="127"/>
      <c r="C6" s="128"/>
      <c r="D6" s="127"/>
      <c r="E6" s="124"/>
      <c r="F6" s="125"/>
      <c r="G6" s="125"/>
      <c r="H6" s="158"/>
      <c r="I6" s="129" t="str">
        <f t="shared" ref="I6:I22" si="0">IF(ROUND(G6*(ROUND(H6,2)),2)=0,"",ROUND(G6*(ROUND(H6,2)),2))</f>
        <v/>
      </c>
    </row>
    <row r="7" spans="1:9" x14ac:dyDescent="0.2">
      <c r="A7" s="130" t="s">
        <v>9</v>
      </c>
      <c r="B7" s="131"/>
      <c r="C7" s="132"/>
      <c r="D7" s="132"/>
      <c r="E7" s="133" t="s">
        <v>10</v>
      </c>
      <c r="F7" s="134"/>
      <c r="G7" s="125"/>
      <c r="H7" s="1"/>
      <c r="I7" s="129" t="str">
        <f t="shared" si="0"/>
        <v/>
      </c>
    </row>
    <row r="8" spans="1:9" ht="25.5" x14ac:dyDescent="0.2">
      <c r="A8" s="130"/>
      <c r="B8" s="132" t="s">
        <v>11</v>
      </c>
      <c r="C8" s="135"/>
      <c r="D8" s="135"/>
      <c r="E8" s="136" t="s">
        <v>12</v>
      </c>
      <c r="F8" s="137"/>
      <c r="G8" s="125"/>
      <c r="H8" s="1"/>
      <c r="I8" s="129" t="str">
        <f t="shared" si="0"/>
        <v/>
      </c>
    </row>
    <row r="9" spans="1:9" ht="38.25" x14ac:dyDescent="0.2">
      <c r="A9" s="130"/>
      <c r="B9" s="132"/>
      <c r="C9" s="138" t="s">
        <v>13</v>
      </c>
      <c r="D9" s="138"/>
      <c r="E9" s="139" t="s">
        <v>14</v>
      </c>
      <c r="F9" s="137" t="s">
        <v>15</v>
      </c>
      <c r="G9" s="125">
        <v>100</v>
      </c>
      <c r="H9" s="2"/>
      <c r="I9" s="129" t="str">
        <f t="shared" si="0"/>
        <v/>
      </c>
    </row>
    <row r="10" spans="1:9" ht="38.25" x14ac:dyDescent="0.2">
      <c r="A10" s="130"/>
      <c r="B10" s="132"/>
      <c r="C10" s="138" t="s">
        <v>16</v>
      </c>
      <c r="D10" s="138"/>
      <c r="E10" s="139" t="s">
        <v>17</v>
      </c>
      <c r="F10" s="137" t="s">
        <v>15</v>
      </c>
      <c r="G10" s="125">
        <v>100</v>
      </c>
      <c r="H10" s="2"/>
      <c r="I10" s="129" t="str">
        <f t="shared" si="0"/>
        <v/>
      </c>
    </row>
    <row r="11" spans="1:9" ht="25.5" x14ac:dyDescent="0.2">
      <c r="A11" s="130"/>
      <c r="B11" s="132" t="s">
        <v>18</v>
      </c>
      <c r="C11" s="138"/>
      <c r="D11" s="138"/>
      <c r="E11" s="136" t="s">
        <v>72</v>
      </c>
      <c r="F11" s="134" t="s">
        <v>19</v>
      </c>
      <c r="G11" s="125">
        <v>312</v>
      </c>
      <c r="H11" s="2"/>
      <c r="I11" s="129" t="str">
        <f t="shared" si="0"/>
        <v/>
      </c>
    </row>
    <row r="12" spans="1:9" ht="38.25" x14ac:dyDescent="0.2">
      <c r="A12" s="130"/>
      <c r="B12" s="132"/>
      <c r="C12" s="138"/>
      <c r="D12" s="138"/>
      <c r="E12" s="136" t="s">
        <v>73</v>
      </c>
      <c r="F12" s="134" t="s">
        <v>19</v>
      </c>
      <c r="G12" s="125">
        <v>60</v>
      </c>
      <c r="H12" s="2"/>
      <c r="I12" s="129" t="str">
        <f t="shared" si="0"/>
        <v/>
      </c>
    </row>
    <row r="13" spans="1:9" ht="25.5" x14ac:dyDescent="0.2">
      <c r="A13" s="130"/>
      <c r="B13" s="132" t="s">
        <v>20</v>
      </c>
      <c r="C13" s="138"/>
      <c r="D13" s="138"/>
      <c r="E13" s="136" t="s">
        <v>75</v>
      </c>
      <c r="F13" s="134" t="s">
        <v>19</v>
      </c>
      <c r="G13" s="125">
        <v>156</v>
      </c>
      <c r="H13" s="2"/>
      <c r="I13" s="129" t="str">
        <f t="shared" si="0"/>
        <v/>
      </c>
    </row>
    <row r="14" spans="1:9" ht="38.25" x14ac:dyDescent="0.2">
      <c r="A14" s="130"/>
      <c r="B14" s="132"/>
      <c r="C14" s="138"/>
      <c r="D14" s="138"/>
      <c r="E14" s="136" t="s">
        <v>74</v>
      </c>
      <c r="F14" s="134" t="s">
        <v>19</v>
      </c>
      <c r="G14" s="125">
        <v>30</v>
      </c>
      <c r="H14" s="2"/>
      <c r="I14" s="129" t="str">
        <f t="shared" si="0"/>
        <v/>
      </c>
    </row>
    <row r="15" spans="1:9" x14ac:dyDescent="0.2">
      <c r="A15" s="130"/>
      <c r="B15" s="132"/>
      <c r="C15" s="138"/>
      <c r="D15" s="138"/>
      <c r="E15" s="136"/>
      <c r="F15" s="134"/>
      <c r="G15" s="125"/>
      <c r="H15" s="2"/>
      <c r="I15" s="129" t="str">
        <f t="shared" si="0"/>
        <v/>
      </c>
    </row>
    <row r="16" spans="1:9" x14ac:dyDescent="0.2">
      <c r="A16" s="130"/>
      <c r="B16" s="132" t="s">
        <v>21</v>
      </c>
      <c r="C16" s="138"/>
      <c r="D16" s="138"/>
      <c r="E16" s="136" t="s">
        <v>22</v>
      </c>
      <c r="F16" s="134"/>
      <c r="G16" s="125"/>
      <c r="H16" s="2"/>
      <c r="I16" s="129" t="str">
        <f t="shared" si="0"/>
        <v/>
      </c>
    </row>
    <row r="17" spans="1:10" x14ac:dyDescent="0.2">
      <c r="A17" s="130"/>
      <c r="B17" s="132" t="s">
        <v>23</v>
      </c>
      <c r="C17" s="140"/>
      <c r="D17" s="140"/>
      <c r="E17" s="136" t="s">
        <v>24</v>
      </c>
      <c r="F17" s="141"/>
      <c r="G17" s="125"/>
      <c r="H17" s="1"/>
      <c r="I17" s="129" t="str">
        <f t="shared" si="0"/>
        <v/>
      </c>
    </row>
    <row r="18" spans="1:10" x14ac:dyDescent="0.2">
      <c r="A18" s="130"/>
      <c r="B18" s="132" t="s">
        <v>25</v>
      </c>
      <c r="C18" s="132"/>
      <c r="D18" s="132"/>
      <c r="E18" s="142" t="s">
        <v>71</v>
      </c>
      <c r="F18" s="143" t="s">
        <v>8</v>
      </c>
      <c r="G18" s="125">
        <v>3</v>
      </c>
      <c r="H18" s="2"/>
      <c r="I18" s="129" t="str">
        <f t="shared" si="0"/>
        <v/>
      </c>
    </row>
    <row r="19" spans="1:10" x14ac:dyDescent="0.2">
      <c r="A19" s="130"/>
      <c r="B19" s="132"/>
      <c r="C19" s="132"/>
      <c r="D19" s="132"/>
      <c r="E19" s="144"/>
      <c r="F19" s="143"/>
      <c r="G19" s="125"/>
      <c r="H19" s="1"/>
      <c r="I19" s="129" t="str">
        <f t="shared" si="0"/>
        <v/>
      </c>
    </row>
    <row r="20" spans="1:10" x14ac:dyDescent="0.2">
      <c r="A20" s="130" t="s">
        <v>26</v>
      </c>
      <c r="B20" s="132"/>
      <c r="C20" s="132"/>
      <c r="D20" s="132"/>
      <c r="E20" s="145" t="s">
        <v>27</v>
      </c>
      <c r="F20" s="143" t="s">
        <v>28</v>
      </c>
      <c r="G20" s="125">
        <v>3</v>
      </c>
      <c r="H20" s="2"/>
      <c r="I20" s="129" t="str">
        <f t="shared" si="0"/>
        <v/>
      </c>
    </row>
    <row r="21" spans="1:10" x14ac:dyDescent="0.2">
      <c r="A21" s="130" t="s">
        <v>29</v>
      </c>
      <c r="B21" s="132"/>
      <c r="C21" s="132"/>
      <c r="D21" s="132"/>
      <c r="E21" s="145" t="s">
        <v>70</v>
      </c>
      <c r="F21" s="143" t="s">
        <v>8</v>
      </c>
      <c r="G21" s="125">
        <v>3</v>
      </c>
      <c r="H21" s="2"/>
      <c r="I21" s="129" t="str">
        <f t="shared" si="0"/>
        <v/>
      </c>
    </row>
    <row r="22" spans="1:10" x14ac:dyDescent="0.2">
      <c r="A22" s="130"/>
      <c r="B22" s="132"/>
      <c r="C22" s="132"/>
      <c r="D22" s="132"/>
      <c r="E22" s="146"/>
      <c r="F22" s="143"/>
      <c r="G22" s="125"/>
      <c r="H22" s="1"/>
      <c r="I22" s="129" t="str">
        <f t="shared" si="0"/>
        <v/>
      </c>
    </row>
    <row r="23" spans="1:10" x14ac:dyDescent="0.2">
      <c r="A23" s="147" t="s">
        <v>30</v>
      </c>
      <c r="B23" s="148"/>
      <c r="C23" s="149"/>
      <c r="D23" s="149"/>
      <c r="E23" s="150"/>
      <c r="F23" s="151"/>
      <c r="G23" s="147"/>
      <c r="H23" s="159"/>
      <c r="I23" s="152">
        <f>SUM(I7:I22)</f>
        <v>0</v>
      </c>
      <c r="J23" s="153"/>
    </row>
    <row r="24" spans="1:10" x14ac:dyDescent="0.2">
      <c r="F24" s="154"/>
    </row>
    <row r="1048445" spans="6:6" x14ac:dyDescent="0.2">
      <c r="F1048445" s="143"/>
    </row>
  </sheetData>
  <sheetProtection algorithmName="SHA-512" hashValue="4csrWgRScmHbEcUPpbuJ3jEz/DJ9/3khZTAUMoEuXcJT+42lOgsFwXu9tCYXQFDVWVEm8KurSS8rHvTz0so8CA==" saltValue="xrcSfb5hBt4QHo9mAIzv0w==" spinCount="100000" sheet="1"/>
  <mergeCells count="2">
    <mergeCell ref="B2:G2"/>
    <mergeCell ref="F3:G3"/>
  </mergeCells>
  <pageMargins left="0.75" right="0.75" top="1" bottom="1" header="0.5" footer="0.5"/>
  <pageSetup paperSize="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P's&amp; G's</vt:lpstr>
      <vt:lpstr>C1.5 (2)</vt:lpstr>
      <vt:lpstr>'C1.5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Rossouw</dc:creator>
  <cp:lastModifiedBy>User</cp:lastModifiedBy>
  <dcterms:created xsi:type="dcterms:W3CDTF">2024-09-10T11:01:39Z</dcterms:created>
  <dcterms:modified xsi:type="dcterms:W3CDTF">2026-08-05T14:47:41Z</dcterms:modified>
</cp:coreProperties>
</file>